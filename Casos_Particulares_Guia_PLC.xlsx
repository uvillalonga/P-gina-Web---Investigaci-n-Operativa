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a161ea31542415b/UTN/4to Año/IO/Pag web IO/"/>
    </mc:Choice>
  </mc:AlternateContent>
  <xr:revisionPtr revIDLastSave="32" documentId="11_72992CF0BDC68F2D510E53A784306C2ECC48D6D7" xr6:coauthVersionLast="47" xr6:coauthVersionMax="47" xr10:uidLastSave="{64BEFAC5-7105-4033-ADF6-8A53DD502BB2}"/>
  <bookViews>
    <workbookView xWindow="-108" yWindow="-108" windowWidth="23256" windowHeight="12456" xr2:uid="{00000000-000D-0000-FFFF-FFFF00000000}"/>
  </bookViews>
  <sheets>
    <sheet name="4.7 - Alternativas" sheetId="1" r:id="rId1"/>
    <sheet name="4.8 - Degenerada" sheetId="2" r:id="rId2"/>
    <sheet name="4.10 - No Acotada" sheetId="3" r:id="rId3"/>
    <sheet name="4.12 - Incompatib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3" i="2" l="1"/>
  <c r="H43" i="2"/>
  <c r="G43" i="2"/>
  <c r="F43" i="2"/>
  <c r="E43" i="2"/>
  <c r="D42" i="2"/>
  <c r="I34" i="2"/>
  <c r="H34" i="2"/>
  <c r="G34" i="2"/>
  <c r="F34" i="2"/>
  <c r="E34" i="2"/>
  <c r="D33" i="2"/>
  <c r="J31" i="2"/>
  <c r="J30" i="2"/>
  <c r="I25" i="2"/>
  <c r="H25" i="2"/>
  <c r="G25" i="2"/>
  <c r="F25" i="2"/>
  <c r="E25" i="2"/>
  <c r="D24" i="2"/>
  <c r="J23" i="2"/>
  <c r="J22" i="2"/>
  <c r="J21" i="2"/>
  <c r="I43" i="1"/>
  <c r="H43" i="1"/>
  <c r="G43" i="1"/>
  <c r="F43" i="1"/>
  <c r="E43" i="1"/>
  <c r="D42" i="1"/>
  <c r="I34" i="1"/>
  <c r="H34" i="1"/>
  <c r="G34" i="1"/>
  <c r="F34" i="1"/>
  <c r="E34" i="1"/>
  <c r="D33" i="1"/>
  <c r="J31" i="1"/>
  <c r="I25" i="1"/>
  <c r="H25" i="1"/>
  <c r="G25" i="1"/>
  <c r="F25" i="1"/>
  <c r="E25" i="1"/>
  <c r="D24" i="1"/>
  <c r="J23" i="1"/>
  <c r="J22" i="1"/>
  <c r="J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Cátedra IO</author>
  </authors>
  <commentList>
    <comment ref="J2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Sale λ1 (menor Θ = 6/1 = 6.00).</t>
        </r>
      </text>
    </comment>
    <comment ref="E25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Entra X1 (mayor contribución marginal -4.00 en MAX).</t>
        </r>
      </text>
    </comment>
    <comment ref="I3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¡CERO ALTERNATIVO 0*! Variable NO básica λ3 con zj - cj = 0. Demuestra que forzar su ingreso da otro vértice con igual Z*=32.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Cátedra IO</author>
  </authors>
  <commentList>
    <comment ref="J2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¡EMPATE EN Θ (60/4 = 15)! Razón mínima.</t>
        </r>
      </text>
    </comment>
    <comment ref="J23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¡EMPATE EN Θ (45/3 = 15)! Al salir λ2, λ3 quedará en la base con Bk = 0.</t>
        </r>
      </text>
    </comment>
    <comment ref="D32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¡BASE DEGRADADA! Variable básica λ3 con valor Bk = 0.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Cátedra IO</author>
  </authors>
  <commentList>
    <comment ref="G20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¡TODOS aij &lt;= 0! En la dirección de mejora, no hay cota superior. Z -&gt; +infinito.</t>
        </r>
      </text>
    </comment>
    <comment ref="G2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Candidata a entrar: zj - cj = -5.00 &lt; 0.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Cátedra IO</author>
  </authors>
  <commentList>
    <comment ref="D22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¡VARIABLE ARTIFICIAL μ3 EN BASE! Con Bk = 7.33 &gt; 0 al parar Simplex. Prueba de incompatibilidad.</t>
        </r>
      </text>
    </comment>
  </commentList>
</comments>
</file>

<file path=xl/sharedStrings.xml><?xml version="1.0" encoding="utf-8"?>
<sst xmlns="http://schemas.openxmlformats.org/spreadsheetml/2006/main" count="210" uniqueCount="53">
  <si>
    <t>Ejercicio 4.7: Soluciones Alternativas (Múltiples Óptimos)</t>
  </si>
  <si>
    <t>1. CONSIGNA DEL PROBLEMA (CASO DE ESTUDIO): LA CARPINTERÍA ARTESANAL</t>
  </si>
  <si>
    <t>Una carpintería artesanal fabrica dos líneas de mesas: Mesas de Pino (X1) y Mesas de Roble (X2).
Ambos modelos generan una contribución marginal de $4 por unidad vendida.
El proceso productivo cuenta con las siguientes restricciones operativas:
• Secado y espacio de taller: Por limitaciones de secado natural del pino, no es posible fabricar más de 6 mesas de pino semanales.
• Mano de obra en armado: Cada mesa de pino y cada mesa de roble requieren 1 hora de mano de obra de ensamble. El taller dispone de hasta 8 horas semanales de personal de armado.
• Lijado y barnizado: El sector de terminación cuenta con un total de 12 horas semanales. Una mesa de pino insume 1 hora de lijado y una de roble insume 2 horas debido a la dureza de la madera.
Preguntas de la consigna:
a) Identificar las variables de decisión y deducir la formulación matemática formal.
b) Resolver analíticamente por Simplex y gráficamente.
c) ¿Existe un único plan de producción óptimo? Explicar cómo se detectan las soluciones alternativas en la tabla óptima (cero alternativo).</t>
  </si>
  <si>
    <t>2. FORMULACIÓN DEDUCIDA: Max Z = 4 X1 + 4 X2  |  s.a. X1 &lt;= 6;  X1 + X2 &lt;= 8;  X1 + 2 X2 &lt;= 12</t>
  </si>
  <si>
    <t>TABLA INICIAL DEL PRIMAL (TIP)</t>
  </si>
  <si>
    <t>4</t>
  </si>
  <si>
    <t>0</t>
  </si>
  <si>
    <t>Ck</t>
  </si>
  <si>
    <t>Xk</t>
  </si>
  <si>
    <t>Bk</t>
  </si>
  <si>
    <t>X1</t>
  </si>
  <si>
    <t>X2</t>
  </si>
  <si>
    <t>λ1</t>
  </si>
  <si>
    <t>λ2</t>
  </si>
  <si>
    <t>λ3</t>
  </si>
  <si>
    <t>Θ</t>
  </si>
  <si>
    <t>Z</t>
  </si>
  <si>
    <t>=</t>
  </si>
  <si>
    <t>zj - cj</t>
  </si>
  <si>
    <t>PRIMERA TABLA ÓPTIMA (TOP 1) - Vértice A: (6 mesas de pino, 2 mesas de roble)</t>
  </si>
  <si>
    <t>-</t>
  </si>
  <si>
    <t>SEGUNDA TABLA ÓPTIMA (TOP 2) - Vértice B: (4 mesas de pino, 4 mesas de roble)</t>
  </si>
  <si>
    <t>3. RESPUESTAS A LAS PREGUNTAS TEÓRICAS Y CONCLUSIÓN DEL CASO</t>
  </si>
  <si>
    <t>• Respuesta a) Formulación Deducida:
   Variables: X1 = Mesas de pino por semana | X2 = Mesas de roble por semana.
   Funcional: Max Z = 4 X1 + 4 X2 ($/semana).
   Restricciones: X1 &lt;= 6 (secado pino); X1 + X2 &lt;= 8 (horas armado); X1 + 2 X2 &lt;= 12 (horas lijado); X1, X2 &gt;= 0.
• Respuesta b) y c) Análisis de Soluciones Alternativas:
   1. ¿Existe un único plan óptimo? NO. Existen infinitas combinaciones óptimas que forman un segmento continuo.
   2. Vértices Extremos: Vértice A (6 pino, 2 roble) con Z*=$32,00 y Vértice B (4 pino, 4 roble) con Z*=$32,00.
   3. Combinación Convexa: Cualquier punto X = α·(6, 2) + (1-α)·(4, 4) con 0 &lt;= α &lt;= 1 es óptimo con ganancia $32.
      Ejemplo: Fabricar 5 mesas de pino y 3 de roble (α = 0,5) es factible y produce exactamente Z = 4(5) + 4(3) = $32,00.
   4. Detección en la Tabla Simplex: Al alcanzar la condición de parada en TOP 1 (todos los zj - cj &gt;= 0), la variable
      NO BÁSICA λ3 tiene costo de oportunidad zj - cj = 0 (denominado Cero Alternativo 0*). Pivotear en ella genera el vértice B sin variar Z.
   5. Causa Geométrica: La pendiente del funcional (m = -4/4 = -1) es paralela a la restricción activa de armado (m = -1/1 = -1).</t>
  </si>
  <si>
    <t>Ejercicio 4.8: Solución Degenerada</t>
  </si>
  <si>
    <t>1. CONSIGNA DEL PROBLEMA (CASO DE ESTUDIO): LA PLANTA QUÍMICA DE FERTILIZANTES</t>
  </si>
  <si>
    <t>Una planta química elabora dos fertilizantes agrícolas concentrados: Nitrógeno-Plus (X1) y Fósforo-Max (X2).
Las ganancias netas por litro son de $6 para Nitrógeno-Plus y de $4 para Fósforo-Max.
El departamento de producción cuenta con las siguientes disponibilidades mensuales:
• Tiempo en reactor de mezclado: X1 insume 2 horas/litro y X2 insume 4 horas/litro, disponiendo de 48 horas mensuales.
• Reactivo base químico A: Cada litro de X1 requiere 4 kg y cada litro de X2 requiere 2 kg, con un stock mensual de 60 kg.
• Envasado de seguridad especial: Por normativa de transporte, X1 requiere un envasado especial que insume 3 minutos por litro. La máquina solo puede operar 45 minutos mensuales (equivalente a un tope máximo de 15 litros de X1).
Preguntas de la consigna:
a) Formular el modelo de programación lineal deducido del enunciado.
b) Resolver por el método Simplex y advertir el empate en el criterio de salida (Θ = 15) que da origen a una solución básica degradada.
c) Interpretar en el gráfico por qué 3 restricciones se cruzan en un mismo punto generando degeneración.</t>
  </si>
  <si>
    <t>2. FORMULACIÓN DEDUCIDA: Max Z = 6 X1 + 4 X2  |  s.a. 2 X1 + 4 X2 &lt;= 48;  4 X1 + 2 X2 &lt;= 60;  3 X1 &lt;= 45</t>
  </si>
  <si>
    <t>TABLA INICIAL DEL PRIMAL (TIP) - EMPATE EN THETA</t>
  </si>
  <si>
    <t>6</t>
  </si>
  <si>
    <t>ITERACIÓN 1 - BASE DEGRADADA (Bk = 0 en λ3)</t>
  </si>
  <si>
    <t>TABLA ÓPTIMA DEL PRIMAL (TOP) - Vértice: (12 litros de N-Plus, 6 litros de P-Max)</t>
  </si>
  <si>
    <t>• Respuesta a) Formulación Deducida:
   Variables: X1 = Litros mensuales de Fertilizante N-Plus | X2 = Litros mensuales de Fertilizante P-Max.
   Funcional: Max Z = 6 X1 + 4 X2 ($/mes).
   Restricciones: 2 X1 + 4 X2 &lt;= 48 (reactor); 4 X1 + 2 X2 &lt;= 60 (reactivo A); 3 X1 &lt;= 45 (envasado); X1, X2 &gt;= 0.
• Respuesta b) Detección de Degeneración en Simplex:
   1. Empate en el Criterio de Salida: En la TIP, al entrar X1 (zj-cj = -6), el cociente Θ = Bk / aij empata en Θ = 15
      entre la fila de λ2 (60/4 = 15) y la fila de λ3 (45/3 = 15).
   2. Base Degradada: Al salir λ2, la otra variable que empató (λ3) permanece básica pero pasa a valer Bk = 0 en la Iteración 1.
      Tener variables básicas iguales a cero define una Base Degradada.
• Respuesta c) Interpretación Geométrica y Solución Óptima Final:
   1. Geometría: En 2 variables, un vértice se define por 2 rectas. En el punto (15, 0) concurren 3 restricciones a la vez:
      R2 (4X1+2X2=60), R3 (3X1=45) y el eje horizontal (X2=0). Esa sobredeterminación local causa el empate algebraico.
   2. Solución Óptima: Vértice único X1* = 12 litros de N-Plus y X2* = 6 litros de P-Max, con ganancia máxima Z* = $96,00
      y una holgura remanente de 9 minutos en la máquina de envasado (λ3 = 9).</t>
  </si>
  <si>
    <t>Ejercicio 4.10: Solución No Acotada (Poliedro Abierto)</t>
  </si>
  <si>
    <t>1. CONSIGNA DEL PROBLEMA (CASO DE ESTUDIO): LA PLANTA DE RECICLAJE Y SUBSIDIOS</t>
  </si>
  <si>
    <t>Una planta de reciclaje procesa dos tipos de residuos plásticos: PET (X1) y Polietileno (X2) en toneladas.
Por convenios de economía circular y venta de créditos verdes, la planta percibe $1 por tonelada de PET y $8 por tonelada de Polietileno.
Las regulaciones operativas y ambientales imponen las siguientes condiciones mínimas:
• Compromiso municipal mínimo: El contrato ambiental exige procesar al menos 2 toneladas diarias de Polietileno (X2 &gt;= 2).
• Carga calórica mínima de combustión: Para encender los reactores térmicos, el residuo conjunto debe aportar un mínimo de 24 unidades térmicas. Cada tonelada de PET aporta 4 unidades y cada de Polietileno aporta 6 (4 X1 + 6 X2 &gt;= 24).
• Mezcla técnica de polímeros: Por balance de masa y para evitar apelmazamiento, por cada tonelada de Polietileno procesada se debe mezclar al menos 3 toneladas de PET más un sobrante neto de 3 toneladas (10 X1 - 30 X2 &gt;= 30, equivalente a X1 - 3 X2 &gt;= 3).
Preguntas de la consigna:
a) Formular el modelo formal deducido del texto.
b) Explicar por qué el modelo resulta matemáticamente no acotado (Z -&gt; +infinito) y cómo se detecta en la tabla Simplex.
c) ¿Qué restricción del mundo real faltó modelar para que el problema sea económicamente viable?</t>
  </si>
  <si>
    <t>2. FORMULACIÓN DEDUCIDA: Max Z = X1 + 8 X2  |  s.a. X2 &gt;= 2;  4 X1 + 6 X2 &gt;= 24;  10 X1 - 30 X2 &gt;= 30</t>
  </si>
  <si>
    <t>TABLA DONDE SE DETECTA LA CONDICIÓN DE NO ACOTADO</t>
  </si>
  <si>
    <t>No calculable (&lt;= 0)</t>
  </si>
  <si>
    <t>60.00</t>
  </si>
  <si>
    <t>25.00</t>
  </si>
  <si>
    <t>• Respuesta a) Formulación Deducida:
   Variables: X1 = Toneladas diarias de PET reciclado | X2 = Toneladas diarias de Polietileno procesado.
   Funcional: Max Z = 1 X1 + 8 X2 ($/día).
   Restricciones: X2 &gt;= 2 (mínimo contrato); 4 X1 + 6 X2 &gt;= 24 (carga calórica); 10 X1 - 30 X2 &gt;= 30 (mezcla PET); X1, X2 &gt;= 0.
• Respuesta b) Detección de No Acotamiento en el Tableau Simplex:
   1. Criterio de Entrada: En la tabla existe una variable candidata a entrar con zj - cj &lt; 0 (en MAX indica incremento de beneficio).
   2. Imposibilidad de Salida: TODOS los coeficientes tecnológicos de su columna son menores o iguales a cero (aij &lt;= 0).
   3. Ausencia de Cota: Al no existir ningún aij &gt; 0, es imposible calcular el cociente de salida Θ = Bk / aij &gt; 0.
      La variable entrante puede aumentar hasta +infinito sin violar ninguna restricción, provocando que Z -&gt; +infinito.
• Respuesta c) Justificación Económica y Omisión del Modelo Real:
   En la economía real las ganancias infinitas no existen. El modelo incurre en una omisión crítica al no contemplar restricciones de:
   1. Capacidad máxima de molienda y almacenamiento de la planta.
   2. Límite de disponibilidad de recolección de plástico PET en el mercado.
   3. Techo presupuestario del municipio para el pago de subsidios o saturación de la demanda comercial.</t>
  </si>
  <si>
    <t>Ejercicio 4.12: Problema Incompatible / Infactible</t>
  </si>
  <si>
    <t>1. CONSIGNA DEL PROBLEMA (CASO DE ESTUDIO): EL TALLER TEXTIL DE CONFECCIÓN</t>
  </si>
  <si>
    <t>Un taller textil recibe una propuesta para confeccionar dos prendas: Camisas (X1) y Pantalones (X2).
La ganancia unitaria es de $3 por camisa y $1 por pantalón.
Se deben coordinar tres restricciones impuestas por producción, finanzas y el cliente:
• Stock de tela disponible: Se dispone de un rollo remanente de 6 metros. Cada camisa y cada pantalón consumen 1 metro (X1 + X2 &lt;= 6).
• Presupuesto para botones y cierres: Por límite estricto de caja chica, el costo total en avíos no puede superar $1. Cada camisa insume $2 en avíos y cada pantalón insume $3 (2 X1 + 3 X2 &lt;= 1).
• Cláusula contractual exigida por el comprador: El cliente exige que la cantidad de pantalones duplicada debe superar a la de camisas en al menos 8 unidades (-X1 + 2 X2 &gt;= 8, o 2 X2 - X1 &gt;= 8).
Preguntas de la consigna:
a) Deducir el modelo de programación lineal a partir de los datos.
b) Demostrar analíticamente que las restricciones de presupuesto y contractual se contradicen (X2 &lt;= 0,33 vs X2 &gt;= 4).
c) Resolver por Gran M y verificar cómo se detecta la incompatibilidad (la variable artificial μ3 queda en la base con Bk &gt; 0).</t>
  </si>
  <si>
    <t>2. FORMULACIÓN DEDUCIDA: Max Z = 3 X1 + X2  |  s.a. X1 + X2 &lt;= 6;  2 X1 + 3 X2 &lt;= 1;  -X1 + 2 X2 &gt;= 8</t>
  </si>
  <si>
    <t>TABLA FINAL DEL MÉTODO GRAN M (μ EN BASE CON Bk &gt; 0)</t>
  </si>
  <si>
    <t>μ3</t>
  </si>
  <si>
    <t>0.33 - 7.33M</t>
  </si>
  <si>
    <t>0.00</t>
  </si>
  <si>
    <t>0.33 + 0.67M</t>
  </si>
  <si>
    <t>M</t>
  </si>
  <si>
    <t>• Respuesta a) Formulación Deducida:
   Variables: X1 = Camisas confeccionadas | X2 = Pantalones confeccionados.
   Funcional: Max Z = 3 X1 + 1 X2 ($).
   Restricciones: X1 + X2 &lt;= 6 (tela); 2 X1 + 3 X2 &lt;= 1 (presupuesto avíos); -X1 + 2 X2 &gt;= 8 (contrato cliente); X1, X2 &gt;= 0.
• Respuesta b) Demostración Analítica de Contradicción:
   1. De la restricción de presupuesto (R2): 2 X1 + 3 X2 &lt;= 1. Como X1 &gt;= 0, necesariamente 3 X2 &lt;= 1 ==&gt; X2 &lt;= 1/3 ≈ 0,33.
   2. De la exigencia contractual (R3): -X1 + 2 X2 &gt;= 8 ==&gt; 2 X2 &gt;= 8 + X1 &gt;= 8 ==&gt; necesariamente X2 &gt;= 4.
   3. Incompatibilidad: Es matemáticamente imposible que X2 &lt;= 0,33 y a la vez X2 &gt;= 4. No existe ningún punto que cumpla ambas.
   4. Región Factible: El conjunto de soluciones factibles es vacío: R = ∅.
• Respuesta c) Detección en la Tabla Final del Método de la Gran M:
   1. Parada Formal: El algoritmo alcanza la condición de optimalidad porque todos los zj - cj &gt;= 0 (los términos en M son positivos).
   2. Presencia de Artificial: La variable artificial μ3 permanece en la base con valor estrictamente positivo: Bk = 7,33 &gt; 0.
   3. Funcional Penalizado: Z = 0,33 - 7,33M queda castigado por la constante astronómica -M.
   4. Diagnóstico de Examen: PROBLEMA INCOMPATIBLE (Infactible). La gerencia debe renegociar el contrato o ampliar el presupuesto de caja.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</si>
</sst>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1B365D"/>
      <name val="Calibri"/>
      <family val="2"/>
    </font>
    <font>
      <b/>
      <sz val="14"/>
      <color rgb="FF1B365D"/>
      <name val="Calibri"/>
      <family val="2"/>
    </font>
    <font>
      <b/>
      <sz val="10"/>
      <color rgb="FF1B365D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0"/>
      <color rgb="FFFFFFFF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EBF4FF"/>
        <bgColor rgb="FFEBF4FF"/>
      </patternFill>
    </fill>
    <fill>
      <patternFill patternType="solid">
        <fgColor rgb="FF1B365D"/>
        <bgColor rgb="FF1B365D"/>
      </patternFill>
    </fill>
    <fill>
      <patternFill patternType="solid">
        <fgColor rgb="FFFFE5D0"/>
        <bgColor rgb="FFFFE5D0"/>
      </patternFill>
    </fill>
    <fill>
      <patternFill patternType="solid">
        <fgColor rgb="FFFFF3CD"/>
        <bgColor rgb="FFFFF3CD"/>
      </patternFill>
    </fill>
    <fill>
      <patternFill patternType="solid">
        <fgColor rgb="FF2C5282"/>
        <bgColor rgb="FF2C5282"/>
      </patternFill>
    </fill>
    <fill>
      <patternFill patternType="solid">
        <fgColor rgb="FFD1E7DD"/>
        <bgColor rgb="FFD1E7DD"/>
      </patternFill>
    </fill>
    <fill>
      <patternFill patternType="solid">
        <fgColor rgb="FFF8FAFC"/>
        <bgColor rgb="FFF8FAFC"/>
      </patternFill>
    </fill>
    <fill>
      <patternFill patternType="solid">
        <fgColor rgb="FFF8D7DA"/>
        <bgColor rgb="FFF8D7DA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2" fontId="4" fillId="5" borderId="1" xfId="0" applyNumberFormat="1" applyFont="1" applyFill="1" applyBorder="1" applyAlignment="1">
      <alignment horizontal="right" vertical="center"/>
    </xf>
    <xf numFmtId="0" fontId="5" fillId="0" borderId="1" xfId="0" applyFont="1" applyBorder="1"/>
    <xf numFmtId="2" fontId="5" fillId="0" borderId="1" xfId="0" applyNumberFormat="1" applyFont="1" applyBorder="1"/>
    <xf numFmtId="0" fontId="0" fillId="0" borderId="1" xfId="0" applyBorder="1"/>
    <xf numFmtId="0" fontId="5" fillId="0" borderId="3" xfId="0" applyFont="1" applyBorder="1"/>
    <xf numFmtId="0" fontId="0" fillId="0" borderId="3" xfId="0" applyBorder="1"/>
    <xf numFmtId="2" fontId="5" fillId="4" borderId="3" xfId="0" applyNumberFormat="1" applyFont="1" applyFill="1" applyBorder="1" applyAlignment="1">
      <alignment horizontal="right" vertical="center"/>
    </xf>
    <xf numFmtId="2" fontId="5" fillId="0" borderId="3" xfId="0" applyNumberFormat="1" applyFont="1" applyBorder="1" applyAlignment="1">
      <alignment horizontal="right" vertical="center"/>
    </xf>
    <xf numFmtId="0" fontId="6" fillId="6" borderId="2" xfId="0" applyFont="1" applyFill="1" applyBorder="1" applyAlignment="1">
      <alignment horizontal="center" vertical="center"/>
    </xf>
    <xf numFmtId="2" fontId="5" fillId="7" borderId="1" xfId="0" applyNumberFormat="1" applyFont="1" applyFill="1" applyBorder="1"/>
    <xf numFmtId="2" fontId="5" fillId="5" borderId="3" xfId="0" applyNumberFormat="1" applyFont="1" applyFill="1" applyBorder="1" applyAlignment="1">
      <alignment horizontal="right" vertical="center"/>
    </xf>
    <xf numFmtId="2" fontId="5" fillId="9" borderId="1" xfId="0" applyNumberFormat="1" applyFont="1" applyFill="1" applyBorder="1" applyAlignment="1">
      <alignment horizontal="right" vertical="center"/>
    </xf>
    <xf numFmtId="0" fontId="4" fillId="9" borderId="1" xfId="0" applyFont="1" applyFill="1" applyBorder="1" applyAlignment="1">
      <alignment horizontal="right" vertical="center"/>
    </xf>
    <xf numFmtId="0" fontId="0" fillId="4" borderId="3" xfId="0" applyFill="1" applyBorder="1"/>
    <xf numFmtId="0" fontId="5" fillId="9" borderId="1" xfId="0" applyFont="1" applyFill="1" applyBorder="1" applyAlignment="1">
      <alignment horizontal="center" vertical="center"/>
    </xf>
    <xf numFmtId="0" fontId="5" fillId="9" borderId="1" xfId="0" applyFont="1" applyFill="1" applyBorder="1"/>
    <xf numFmtId="0" fontId="5" fillId="0" borderId="3" xfId="0" applyFont="1" applyBorder="1" applyAlignment="1">
      <alignment horizontal="right" vertical="center"/>
    </xf>
    <xf numFmtId="0" fontId="4" fillId="0" borderId="0" xfId="0" applyFont="1" applyAlignment="1">
      <alignment horizontal="left" vertical="center" wrapText="1"/>
    </xf>
    <xf numFmtId="0" fontId="0" fillId="0" borderId="0" xfId="0"/>
    <xf numFmtId="0" fontId="4" fillId="8" borderId="1" xfId="0" applyFont="1" applyFill="1" applyBorder="1" applyAlignment="1">
      <alignment horizontal="left" vertical="center" wrapText="1"/>
    </xf>
    <xf numFmtId="0" fontId="0" fillId="8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330659</xdr:colOff>
      <xdr:row>40</xdr:row>
      <xdr:rowOff>86269</xdr:rowOff>
    </xdr:from>
    <xdr:ext cx="4381500" cy="3524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29440" y="8884988"/>
          <a:ext cx="4381500" cy="3524250"/>
        </a:xfrm>
        <a:prstGeom prst="rect">
          <a:avLst/>
        </a:prstGeom>
      </xdr:spPr>
    </xdr:pic>
    <xdr:clientData/>
  </xdr:oneCellAnchor>
  <xdr:twoCellAnchor editAs="oneCell">
    <xdr:from>
      <xdr:col>13</xdr:col>
      <xdr:colOff>313704</xdr:colOff>
      <xdr:row>7</xdr:row>
      <xdr:rowOff>19879</xdr:rowOff>
    </xdr:from>
    <xdr:to>
      <xdr:col>18</xdr:col>
      <xdr:colOff>371598</xdr:colOff>
      <xdr:row>10</xdr:row>
      <xdr:rowOff>38071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F6F4CCA-9941-AC3B-4750-200E0A748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58782" y="1709531"/>
          <a:ext cx="3105894" cy="10916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297180</xdr:colOff>
      <xdr:row>45</xdr:row>
      <xdr:rowOff>53340</xdr:rowOff>
    </xdr:from>
    <xdr:ext cx="4381500" cy="3524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24060" y="8328660"/>
          <a:ext cx="4381500" cy="3524250"/>
        </a:xfrm>
        <a:prstGeom prst="rect">
          <a:avLst/>
        </a:prstGeom>
      </xdr:spPr>
    </xdr:pic>
    <xdr:clientData/>
  </xdr:oneCellAnchor>
  <xdr:twoCellAnchor editAs="oneCell">
    <xdr:from>
      <xdr:col>15</xdr:col>
      <xdr:colOff>518160</xdr:colOff>
      <xdr:row>6</xdr:row>
      <xdr:rowOff>91440</xdr:rowOff>
    </xdr:from>
    <xdr:to>
      <xdr:col>21</xdr:col>
      <xdr:colOff>114582</xdr:colOff>
      <xdr:row>8</xdr:row>
      <xdr:rowOff>160116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9FBAE1C-A75E-5377-BFE5-4FC8A4B24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93040" y="1234440"/>
          <a:ext cx="3254022" cy="1104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441960</xdr:colOff>
      <xdr:row>31</xdr:row>
      <xdr:rowOff>106680</xdr:rowOff>
    </xdr:from>
    <xdr:ext cx="4381500" cy="3524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768840" y="5821680"/>
          <a:ext cx="4381500" cy="3524250"/>
        </a:xfrm>
        <a:prstGeom prst="rect">
          <a:avLst/>
        </a:prstGeom>
      </xdr:spPr>
    </xdr:pic>
    <xdr:clientData/>
  </xdr:oneCellAnchor>
  <xdr:twoCellAnchor editAs="oneCell">
    <xdr:from>
      <xdr:col>15</xdr:col>
      <xdr:colOff>601980</xdr:colOff>
      <xdr:row>6</xdr:row>
      <xdr:rowOff>91440</xdr:rowOff>
    </xdr:from>
    <xdr:to>
      <xdr:col>21</xdr:col>
      <xdr:colOff>145057</xdr:colOff>
      <xdr:row>9</xdr:row>
      <xdr:rowOff>122014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39EE04-7090-CF38-89BB-F16C5D443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76860" y="1402080"/>
          <a:ext cx="3200677" cy="108213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304800</xdr:colOff>
      <xdr:row>31</xdr:row>
      <xdr:rowOff>60960</xdr:rowOff>
    </xdr:from>
    <xdr:ext cx="4381500" cy="3524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31680" y="7284720"/>
          <a:ext cx="4381500" cy="3524250"/>
        </a:xfrm>
        <a:prstGeom prst="rect">
          <a:avLst/>
        </a:prstGeom>
      </xdr:spPr>
    </xdr:pic>
    <xdr:clientData/>
  </xdr:oneCellAnchor>
  <xdr:twoCellAnchor editAs="oneCell">
    <xdr:from>
      <xdr:col>17</xdr:col>
      <xdr:colOff>0</xdr:colOff>
      <xdr:row>8</xdr:row>
      <xdr:rowOff>0</xdr:rowOff>
    </xdr:from>
    <xdr:to>
      <xdr:col>22</xdr:col>
      <xdr:colOff>152677</xdr:colOff>
      <xdr:row>11</xdr:row>
      <xdr:rowOff>30574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A7DA85-228C-F0B1-0029-51C2F5AA55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94080" y="2011680"/>
          <a:ext cx="3200677" cy="10821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60"/>
  <sheetViews>
    <sheetView tabSelected="1" zoomScale="145" zoomScaleNormal="145" workbookViewId="0">
      <selection activeCell="B6" sqref="B6:J14"/>
    </sheetView>
  </sheetViews>
  <sheetFormatPr baseColWidth="10" defaultColWidth="8.88671875" defaultRowHeight="14.4" x14ac:dyDescent="0.3"/>
  <cols>
    <col min="1" max="1" width="3" customWidth="1"/>
    <col min="2" max="3" width="14" customWidth="1"/>
    <col min="4" max="10" width="15" customWidth="1"/>
  </cols>
  <sheetData>
    <row r="2" spans="2:10" x14ac:dyDescent="0.3">
      <c r="B2" s="1"/>
    </row>
    <row r="3" spans="2:10" ht="18" x14ac:dyDescent="0.35">
      <c r="B3" s="2" t="s">
        <v>0</v>
      </c>
    </row>
    <row r="5" spans="2:10" x14ac:dyDescent="0.3">
      <c r="B5" s="3" t="s">
        <v>1</v>
      </c>
    </row>
    <row r="6" spans="2:10" ht="28.2" customHeight="1" x14ac:dyDescent="0.3">
      <c r="B6" s="27" t="s">
        <v>2</v>
      </c>
      <c r="C6" s="28"/>
      <c r="D6" s="28"/>
      <c r="E6" s="28"/>
      <c r="F6" s="28"/>
      <c r="G6" s="28"/>
      <c r="H6" s="28"/>
      <c r="I6" s="28"/>
      <c r="J6" s="28"/>
    </row>
    <row r="7" spans="2:10" ht="28.2" customHeight="1" x14ac:dyDescent="0.3">
      <c r="B7" s="28"/>
      <c r="C7" s="28"/>
      <c r="D7" s="28"/>
      <c r="E7" s="28"/>
      <c r="F7" s="28"/>
      <c r="G7" s="28"/>
      <c r="H7" s="28"/>
      <c r="I7" s="28"/>
      <c r="J7" s="28"/>
    </row>
    <row r="8" spans="2:10" ht="28.2" customHeight="1" x14ac:dyDescent="0.3">
      <c r="B8" s="28"/>
      <c r="C8" s="28"/>
      <c r="D8" s="28"/>
      <c r="E8" s="28"/>
      <c r="F8" s="28"/>
      <c r="G8" s="28"/>
      <c r="H8" s="28"/>
      <c r="I8" s="28"/>
      <c r="J8" s="28"/>
    </row>
    <row r="9" spans="2:10" ht="28.2" customHeight="1" x14ac:dyDescent="0.3">
      <c r="B9" s="28"/>
      <c r="C9" s="28"/>
      <c r="D9" s="28"/>
      <c r="E9" s="28"/>
      <c r="F9" s="28"/>
      <c r="G9" s="28"/>
      <c r="H9" s="28"/>
      <c r="I9" s="28"/>
      <c r="J9" s="28"/>
    </row>
    <row r="10" spans="2:10" ht="28.2" customHeight="1" x14ac:dyDescent="0.3">
      <c r="B10" s="28"/>
      <c r="C10" s="28"/>
      <c r="D10" s="28"/>
      <c r="E10" s="28"/>
      <c r="F10" s="28"/>
      <c r="G10" s="28"/>
      <c r="H10" s="28"/>
      <c r="I10" s="28"/>
      <c r="J10" s="28"/>
    </row>
    <row r="11" spans="2:10" ht="28.2" customHeight="1" x14ac:dyDescent="0.3">
      <c r="B11" s="28"/>
      <c r="C11" s="28"/>
      <c r="D11" s="28"/>
      <c r="E11" s="28"/>
      <c r="F11" s="28"/>
      <c r="G11" s="28"/>
      <c r="H11" s="28"/>
      <c r="I11" s="28"/>
      <c r="J11" s="28"/>
    </row>
    <row r="12" spans="2:10" ht="28.2" customHeight="1" x14ac:dyDescent="0.3">
      <c r="B12" s="28"/>
      <c r="C12" s="28"/>
      <c r="D12" s="28"/>
      <c r="E12" s="28"/>
      <c r="F12" s="28"/>
      <c r="G12" s="28"/>
      <c r="H12" s="28"/>
      <c r="I12" s="28"/>
      <c r="J12" s="28"/>
    </row>
    <row r="13" spans="2:10" ht="28.2" customHeight="1" x14ac:dyDescent="0.3">
      <c r="B13" s="28"/>
      <c r="C13" s="28"/>
      <c r="D13" s="28"/>
      <c r="E13" s="28"/>
      <c r="F13" s="28"/>
      <c r="G13" s="28"/>
      <c r="H13" s="28"/>
      <c r="I13" s="28"/>
      <c r="J13" s="28"/>
    </row>
    <row r="14" spans="2:10" ht="28.2" customHeight="1" x14ac:dyDescent="0.3">
      <c r="B14" s="28"/>
      <c r="C14" s="28"/>
      <c r="D14" s="28"/>
      <c r="E14" s="28"/>
      <c r="F14" s="28"/>
      <c r="G14" s="28"/>
      <c r="H14" s="28"/>
      <c r="I14" s="28"/>
      <c r="J14" s="28"/>
    </row>
    <row r="16" spans="2:10" x14ac:dyDescent="0.3">
      <c r="B16" s="3" t="s">
        <v>3</v>
      </c>
    </row>
    <row r="18" spans="2:10" x14ac:dyDescent="0.3">
      <c r="B18" s="3" t="s">
        <v>4</v>
      </c>
    </row>
    <row r="19" spans="2:10" x14ac:dyDescent="0.3">
      <c r="B19" s="4"/>
      <c r="C19" s="4"/>
      <c r="D19" s="4"/>
      <c r="E19" s="5" t="s">
        <v>5</v>
      </c>
      <c r="F19" s="5" t="s">
        <v>5</v>
      </c>
      <c r="G19" s="5" t="s">
        <v>6</v>
      </c>
      <c r="H19" s="5" t="s">
        <v>6</v>
      </c>
      <c r="I19" s="5" t="s">
        <v>6</v>
      </c>
      <c r="J19" s="4"/>
    </row>
    <row r="20" spans="2:10" x14ac:dyDescent="0.3">
      <c r="B20" s="6" t="s">
        <v>7</v>
      </c>
      <c r="C20" s="6" t="s">
        <v>8</v>
      </c>
      <c r="D20" s="6" t="s">
        <v>9</v>
      </c>
      <c r="E20" s="6" t="s">
        <v>10</v>
      </c>
      <c r="F20" s="6" t="s">
        <v>11</v>
      </c>
      <c r="G20" s="6" t="s">
        <v>12</v>
      </c>
      <c r="H20" s="6" t="s">
        <v>13</v>
      </c>
      <c r="I20" s="6" t="s">
        <v>14</v>
      </c>
      <c r="J20" s="6" t="s">
        <v>15</v>
      </c>
    </row>
    <row r="21" spans="2:10" x14ac:dyDescent="0.3">
      <c r="B21" s="7">
        <v>0</v>
      </c>
      <c r="C21" s="7" t="s">
        <v>12</v>
      </c>
      <c r="D21" s="8">
        <v>6</v>
      </c>
      <c r="E21" s="9">
        <v>1</v>
      </c>
      <c r="F21" s="9">
        <v>0</v>
      </c>
      <c r="G21" s="9">
        <v>1</v>
      </c>
      <c r="H21" s="9">
        <v>0</v>
      </c>
      <c r="I21" s="9">
        <v>0</v>
      </c>
      <c r="J21" s="10">
        <f>D21/E21</f>
        <v>6</v>
      </c>
    </row>
    <row r="22" spans="2:10" x14ac:dyDescent="0.3">
      <c r="B22" s="7">
        <v>0</v>
      </c>
      <c r="C22" s="7" t="s">
        <v>13</v>
      </c>
      <c r="D22" s="8">
        <v>8</v>
      </c>
      <c r="E22" s="9">
        <v>1</v>
      </c>
      <c r="F22" s="9">
        <v>1</v>
      </c>
      <c r="G22" s="9">
        <v>0</v>
      </c>
      <c r="H22" s="9">
        <v>1</v>
      </c>
      <c r="I22" s="9">
        <v>0</v>
      </c>
      <c r="J22" s="8">
        <f>D22/E22</f>
        <v>8</v>
      </c>
    </row>
    <row r="23" spans="2:10" x14ac:dyDescent="0.3">
      <c r="B23" s="7">
        <v>0</v>
      </c>
      <c r="C23" s="7" t="s">
        <v>14</v>
      </c>
      <c r="D23" s="8">
        <v>12</v>
      </c>
      <c r="E23" s="9">
        <v>1</v>
      </c>
      <c r="F23" s="9">
        <v>2</v>
      </c>
      <c r="G23" s="9">
        <v>0</v>
      </c>
      <c r="H23" s="9">
        <v>0</v>
      </c>
      <c r="I23" s="9">
        <v>1</v>
      </c>
      <c r="J23" s="8">
        <f>D23/E23</f>
        <v>12</v>
      </c>
    </row>
    <row r="24" spans="2:10" x14ac:dyDescent="0.3">
      <c r="B24" s="11" t="s">
        <v>16</v>
      </c>
      <c r="C24" s="11" t="s">
        <v>17</v>
      </c>
      <c r="D24" s="12">
        <f>B21*D21+B22*D22+B23*D23</f>
        <v>0</v>
      </c>
      <c r="E24" s="13"/>
      <c r="F24" s="13"/>
      <c r="G24" s="13"/>
      <c r="H24" s="13"/>
      <c r="I24" s="13"/>
      <c r="J24" s="13"/>
    </row>
    <row r="25" spans="2:10" x14ac:dyDescent="0.3">
      <c r="B25" s="14" t="s">
        <v>18</v>
      </c>
      <c r="C25" s="14" t="s">
        <v>17</v>
      </c>
      <c r="D25" s="15"/>
      <c r="E25" s="16">
        <f>B$21*E21+B$22*E22+B$23*E23-E$19</f>
        <v>-4</v>
      </c>
      <c r="F25" s="17">
        <f>B$21*F21+B$22*F22+B$23*F23-F$19</f>
        <v>-4</v>
      </c>
      <c r="G25" s="17">
        <f>B$21*G21+B$22*G22+B$23*G23-G$19</f>
        <v>0</v>
      </c>
      <c r="H25" s="17">
        <f>B$21*H21+B$22*H22+B$23*H23-H$19</f>
        <v>0</v>
      </c>
      <c r="I25" s="17">
        <f>B$21*I21+B$22*I22+B$23*I23-I$19</f>
        <v>0</v>
      </c>
      <c r="J25" s="15"/>
    </row>
    <row r="27" spans="2:10" x14ac:dyDescent="0.3">
      <c r="B27" s="3" t="s">
        <v>19</v>
      </c>
    </row>
    <row r="28" spans="2:10" x14ac:dyDescent="0.3">
      <c r="B28" s="4"/>
      <c r="C28" s="4"/>
      <c r="D28" s="4"/>
      <c r="E28" s="5" t="s">
        <v>5</v>
      </c>
      <c r="F28" s="5" t="s">
        <v>5</v>
      </c>
      <c r="G28" s="5" t="s">
        <v>6</v>
      </c>
      <c r="H28" s="5" t="s">
        <v>6</v>
      </c>
      <c r="I28" s="5" t="s">
        <v>6</v>
      </c>
      <c r="J28" s="4"/>
    </row>
    <row r="29" spans="2:10" x14ac:dyDescent="0.3">
      <c r="B29" s="18" t="s">
        <v>7</v>
      </c>
      <c r="C29" s="18" t="s">
        <v>8</v>
      </c>
      <c r="D29" s="18" t="s">
        <v>9</v>
      </c>
      <c r="E29" s="18" t="s">
        <v>10</v>
      </c>
      <c r="F29" s="18" t="s">
        <v>11</v>
      </c>
      <c r="G29" s="18" t="s">
        <v>12</v>
      </c>
      <c r="H29" s="18" t="s">
        <v>13</v>
      </c>
      <c r="I29" s="18" t="s">
        <v>14</v>
      </c>
      <c r="J29" s="18" t="s">
        <v>15</v>
      </c>
    </row>
    <row r="30" spans="2:10" x14ac:dyDescent="0.3">
      <c r="B30" s="7">
        <v>4</v>
      </c>
      <c r="C30" s="7" t="s">
        <v>10</v>
      </c>
      <c r="D30" s="8">
        <v>6</v>
      </c>
      <c r="E30" s="9">
        <v>1</v>
      </c>
      <c r="F30" s="9">
        <v>0</v>
      </c>
      <c r="G30" s="9">
        <v>1</v>
      </c>
      <c r="H30" s="9">
        <v>0</v>
      </c>
      <c r="I30" s="9">
        <v>0</v>
      </c>
      <c r="J30" s="9" t="s">
        <v>20</v>
      </c>
    </row>
    <row r="31" spans="2:10" x14ac:dyDescent="0.3">
      <c r="B31" s="7">
        <v>4</v>
      </c>
      <c r="C31" s="7" t="s">
        <v>11</v>
      </c>
      <c r="D31" s="8">
        <v>2</v>
      </c>
      <c r="E31" s="9">
        <v>0</v>
      </c>
      <c r="F31" s="9">
        <v>1</v>
      </c>
      <c r="G31" s="9">
        <v>-1</v>
      </c>
      <c r="H31" s="9">
        <v>1</v>
      </c>
      <c r="I31" s="9">
        <v>0</v>
      </c>
      <c r="J31" s="9" t="e">
        <f>D31/I31</f>
        <v>#DIV/0!</v>
      </c>
    </row>
    <row r="32" spans="2:10" x14ac:dyDescent="0.3">
      <c r="B32" s="7">
        <v>0</v>
      </c>
      <c r="C32" s="7" t="s">
        <v>14</v>
      </c>
      <c r="D32" s="8">
        <v>2</v>
      </c>
      <c r="E32" s="9">
        <v>0</v>
      </c>
      <c r="F32" s="9">
        <v>0</v>
      </c>
      <c r="G32" s="9">
        <v>1</v>
      </c>
      <c r="H32" s="9">
        <v>-2</v>
      </c>
      <c r="I32" s="9">
        <v>1</v>
      </c>
      <c r="J32" s="9" t="s">
        <v>20</v>
      </c>
    </row>
    <row r="33" spans="2:10" x14ac:dyDescent="0.3">
      <c r="B33" s="11" t="s">
        <v>16</v>
      </c>
      <c r="C33" s="11" t="s">
        <v>17</v>
      </c>
      <c r="D33" s="19">
        <f>B30*D30+B31*D31+B32*D32</f>
        <v>32</v>
      </c>
      <c r="E33" s="13"/>
      <c r="F33" s="13"/>
      <c r="G33" s="13"/>
      <c r="H33" s="13"/>
      <c r="I33" s="13"/>
      <c r="J33" s="13"/>
    </row>
    <row r="34" spans="2:10" x14ac:dyDescent="0.3">
      <c r="B34" s="14" t="s">
        <v>18</v>
      </c>
      <c r="C34" s="14" t="s">
        <v>17</v>
      </c>
      <c r="D34" s="15"/>
      <c r="E34" s="17">
        <f>B$30*E30+B$31*E31+B$32*E32-E$28</f>
        <v>0</v>
      </c>
      <c r="F34" s="17">
        <f>B$30*F30+B$31*F31+B$32*F32-F$28</f>
        <v>0</v>
      </c>
      <c r="G34" s="17">
        <f>B$30*G30+B$31*G31+B$32*G32-G$28</f>
        <v>0</v>
      </c>
      <c r="H34" s="17">
        <f>B$30*H30+B$31*H31+B$32*H32-H$28</f>
        <v>4</v>
      </c>
      <c r="I34" s="20">
        <f>B$30*I30+B$31*I31+B$32*I32-I$28</f>
        <v>0</v>
      </c>
      <c r="J34" s="15"/>
    </row>
    <row r="36" spans="2:10" x14ac:dyDescent="0.3">
      <c r="B36" s="3" t="s">
        <v>21</v>
      </c>
    </row>
    <row r="37" spans="2:10" x14ac:dyDescent="0.3">
      <c r="B37" s="4"/>
      <c r="C37" s="4"/>
      <c r="D37" s="4"/>
      <c r="E37" s="5" t="s">
        <v>5</v>
      </c>
      <c r="F37" s="5" t="s">
        <v>5</v>
      </c>
      <c r="G37" s="5" t="s">
        <v>6</v>
      </c>
      <c r="H37" s="5" t="s">
        <v>6</v>
      </c>
      <c r="I37" s="5" t="s">
        <v>6</v>
      </c>
      <c r="J37" s="4"/>
    </row>
    <row r="38" spans="2:10" x14ac:dyDescent="0.3">
      <c r="B38" s="18" t="s">
        <v>7</v>
      </c>
      <c r="C38" s="18" t="s">
        <v>8</v>
      </c>
      <c r="D38" s="18" t="s">
        <v>9</v>
      </c>
      <c r="E38" s="18" t="s">
        <v>10</v>
      </c>
      <c r="F38" s="18" t="s">
        <v>11</v>
      </c>
      <c r="G38" s="18" t="s">
        <v>12</v>
      </c>
      <c r="H38" s="18" t="s">
        <v>13</v>
      </c>
      <c r="I38" s="18" t="s">
        <v>14</v>
      </c>
      <c r="J38" s="18" t="s">
        <v>15</v>
      </c>
    </row>
    <row r="39" spans="2:10" x14ac:dyDescent="0.3">
      <c r="B39" s="7">
        <v>4</v>
      </c>
      <c r="C39" s="7" t="s">
        <v>10</v>
      </c>
      <c r="D39" s="8">
        <v>4</v>
      </c>
      <c r="E39" s="9">
        <v>1</v>
      </c>
      <c r="F39" s="9">
        <v>0</v>
      </c>
      <c r="G39" s="9">
        <v>0</v>
      </c>
      <c r="H39" s="9">
        <v>2</v>
      </c>
      <c r="I39" s="9">
        <v>-1</v>
      </c>
      <c r="J39" s="9" t="s">
        <v>20</v>
      </c>
    </row>
    <row r="40" spans="2:10" x14ac:dyDescent="0.3">
      <c r="B40" s="7">
        <v>4</v>
      </c>
      <c r="C40" s="7" t="s">
        <v>11</v>
      </c>
      <c r="D40" s="8">
        <v>4</v>
      </c>
      <c r="E40" s="9">
        <v>0</v>
      </c>
      <c r="F40" s="9">
        <v>1</v>
      </c>
      <c r="G40" s="9">
        <v>0</v>
      </c>
      <c r="H40" s="9">
        <v>-1</v>
      </c>
      <c r="I40" s="9">
        <v>1</v>
      </c>
      <c r="J40" s="9" t="s">
        <v>20</v>
      </c>
    </row>
    <row r="41" spans="2:10" x14ac:dyDescent="0.3">
      <c r="B41" s="7">
        <v>0</v>
      </c>
      <c r="C41" s="7" t="s">
        <v>12</v>
      </c>
      <c r="D41" s="8">
        <v>2</v>
      </c>
      <c r="E41" s="9">
        <v>0</v>
      </c>
      <c r="F41" s="9">
        <v>0</v>
      </c>
      <c r="G41" s="9">
        <v>1</v>
      </c>
      <c r="H41" s="9">
        <v>-2</v>
      </c>
      <c r="I41" s="9">
        <v>1</v>
      </c>
      <c r="J41" s="9" t="s">
        <v>20</v>
      </c>
    </row>
    <row r="42" spans="2:10" x14ac:dyDescent="0.3">
      <c r="B42" s="11" t="s">
        <v>16</v>
      </c>
      <c r="C42" s="11" t="s">
        <v>17</v>
      </c>
      <c r="D42" s="19">
        <f>B39*D39+B40*D40+B41*D41</f>
        <v>32</v>
      </c>
      <c r="E42" s="13"/>
      <c r="F42" s="13"/>
      <c r="G42" s="13"/>
      <c r="H42" s="13"/>
      <c r="I42" s="13"/>
      <c r="J42" s="13"/>
    </row>
    <row r="43" spans="2:10" x14ac:dyDescent="0.3">
      <c r="B43" s="14" t="s">
        <v>18</v>
      </c>
      <c r="C43" s="14" t="s">
        <v>17</v>
      </c>
      <c r="D43" s="15"/>
      <c r="E43" s="17">
        <f>B$39*E39+B$40*E40+B$41*E41-E$37</f>
        <v>0</v>
      </c>
      <c r="F43" s="17">
        <f>B$39*F39+B$40*F40+B$41*F41-F$37</f>
        <v>0</v>
      </c>
      <c r="G43" s="17">
        <f>B$39*G39+B$40*G40+B$41*G41-G$37</f>
        <v>0</v>
      </c>
      <c r="H43" s="17">
        <f>B$39*H39+B$40*H40+B$41*H41-H$37</f>
        <v>4</v>
      </c>
      <c r="I43" s="17">
        <f>B$39*I39+B$40*I40+B$41*I41-I$37</f>
        <v>0</v>
      </c>
      <c r="J43" s="15"/>
    </row>
    <row r="46" spans="2:10" x14ac:dyDescent="0.3">
      <c r="B46" s="3" t="s">
        <v>22</v>
      </c>
    </row>
    <row r="47" spans="2:10" x14ac:dyDescent="0.3">
      <c r="B47" s="29" t="s">
        <v>23</v>
      </c>
      <c r="C47" s="30"/>
      <c r="D47" s="30"/>
      <c r="E47" s="30"/>
      <c r="F47" s="30"/>
      <c r="G47" s="30"/>
      <c r="H47" s="30"/>
      <c r="I47" s="30"/>
      <c r="J47" s="30"/>
    </row>
    <row r="48" spans="2:10" x14ac:dyDescent="0.3">
      <c r="B48" s="30"/>
      <c r="C48" s="30"/>
      <c r="D48" s="30"/>
      <c r="E48" s="30"/>
      <c r="F48" s="30"/>
      <c r="G48" s="30"/>
      <c r="H48" s="30"/>
      <c r="I48" s="30"/>
      <c r="J48" s="30"/>
    </row>
    <row r="49" spans="2:10" x14ac:dyDescent="0.3">
      <c r="B49" s="30"/>
      <c r="C49" s="30"/>
      <c r="D49" s="30"/>
      <c r="E49" s="30"/>
      <c r="F49" s="30"/>
      <c r="G49" s="30"/>
      <c r="H49" s="30"/>
      <c r="I49" s="30"/>
      <c r="J49" s="30"/>
    </row>
    <row r="50" spans="2:10" x14ac:dyDescent="0.3">
      <c r="B50" s="30"/>
      <c r="C50" s="30"/>
      <c r="D50" s="30"/>
      <c r="E50" s="30"/>
      <c r="F50" s="30"/>
      <c r="G50" s="30"/>
      <c r="H50" s="30"/>
      <c r="I50" s="30"/>
      <c r="J50" s="30"/>
    </row>
    <row r="51" spans="2:10" x14ac:dyDescent="0.3">
      <c r="B51" s="30"/>
      <c r="C51" s="30"/>
      <c r="D51" s="30"/>
      <c r="E51" s="30"/>
      <c r="F51" s="30"/>
      <c r="G51" s="30"/>
      <c r="H51" s="30"/>
      <c r="I51" s="30"/>
      <c r="J51" s="30"/>
    </row>
    <row r="52" spans="2:10" x14ac:dyDescent="0.3">
      <c r="B52" s="30"/>
      <c r="C52" s="30"/>
      <c r="D52" s="30"/>
      <c r="E52" s="30"/>
      <c r="F52" s="30"/>
      <c r="G52" s="30"/>
      <c r="H52" s="30"/>
      <c r="I52" s="30"/>
      <c r="J52" s="30"/>
    </row>
    <row r="53" spans="2:10" x14ac:dyDescent="0.3">
      <c r="B53" s="30"/>
      <c r="C53" s="30"/>
      <c r="D53" s="30"/>
      <c r="E53" s="30"/>
      <c r="F53" s="30"/>
      <c r="G53" s="30"/>
      <c r="H53" s="30"/>
      <c r="I53" s="30"/>
      <c r="J53" s="30"/>
    </row>
    <row r="54" spans="2:10" x14ac:dyDescent="0.3">
      <c r="B54" s="30"/>
      <c r="C54" s="30"/>
      <c r="D54" s="30"/>
      <c r="E54" s="30"/>
      <c r="F54" s="30"/>
      <c r="G54" s="30"/>
      <c r="H54" s="30"/>
      <c r="I54" s="30"/>
      <c r="J54" s="30"/>
    </row>
    <row r="55" spans="2:10" x14ac:dyDescent="0.3">
      <c r="B55" s="30"/>
      <c r="C55" s="30"/>
      <c r="D55" s="30"/>
      <c r="E55" s="30"/>
      <c r="F55" s="30"/>
      <c r="G55" s="30"/>
      <c r="H55" s="30"/>
      <c r="I55" s="30"/>
      <c r="J55" s="30"/>
    </row>
    <row r="56" spans="2:10" x14ac:dyDescent="0.3">
      <c r="B56" s="30"/>
      <c r="C56" s="30"/>
      <c r="D56" s="30"/>
      <c r="E56" s="30"/>
      <c r="F56" s="30"/>
      <c r="G56" s="30"/>
      <c r="H56" s="30"/>
      <c r="I56" s="30"/>
      <c r="J56" s="30"/>
    </row>
    <row r="57" spans="2:10" x14ac:dyDescent="0.3">
      <c r="B57" s="30"/>
      <c r="C57" s="30"/>
      <c r="D57" s="30"/>
      <c r="E57" s="30"/>
      <c r="F57" s="30"/>
      <c r="G57" s="30"/>
      <c r="H57" s="30"/>
      <c r="I57" s="30"/>
      <c r="J57" s="30"/>
    </row>
    <row r="58" spans="2:10" x14ac:dyDescent="0.3">
      <c r="B58" s="30"/>
      <c r="C58" s="30"/>
      <c r="D58" s="30"/>
      <c r="E58" s="30"/>
      <c r="F58" s="30"/>
      <c r="G58" s="30"/>
      <c r="H58" s="30"/>
      <c r="I58" s="30"/>
      <c r="J58" s="30"/>
    </row>
    <row r="59" spans="2:10" x14ac:dyDescent="0.3">
      <c r="B59" s="30"/>
      <c r="C59" s="30"/>
      <c r="D59" s="30"/>
      <c r="E59" s="30"/>
      <c r="F59" s="30"/>
      <c r="G59" s="30"/>
      <c r="H59" s="30"/>
      <c r="I59" s="30"/>
      <c r="J59" s="30"/>
    </row>
    <row r="60" spans="2:10" x14ac:dyDescent="0.3">
      <c r="B60" s="30"/>
      <c r="C60" s="30"/>
      <c r="D60" s="30"/>
      <c r="E60" s="30"/>
      <c r="F60" s="30"/>
      <c r="G60" s="30"/>
      <c r="H60" s="30"/>
      <c r="I60" s="30"/>
      <c r="J60" s="30"/>
    </row>
  </sheetData>
  <mergeCells count="2">
    <mergeCell ref="B6:J14"/>
    <mergeCell ref="B47:J60"/>
  </mergeCells>
  <pageMargins left="0.75" right="0.75" top="1" bottom="1" header="0.5" footer="0.5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60"/>
  <sheetViews>
    <sheetView topLeftCell="A41" workbookViewId="0">
      <selection activeCell="M8" sqref="M8"/>
    </sheetView>
  </sheetViews>
  <sheetFormatPr baseColWidth="10" defaultColWidth="8.88671875" defaultRowHeight="14.4" x14ac:dyDescent="0.3"/>
  <cols>
    <col min="1" max="1" width="3" customWidth="1"/>
    <col min="2" max="3" width="14" customWidth="1"/>
    <col min="4" max="10" width="15" customWidth="1"/>
  </cols>
  <sheetData>
    <row r="2" spans="2:10" x14ac:dyDescent="0.3">
      <c r="B2" s="1"/>
    </row>
    <row r="3" spans="2:10" ht="18" x14ac:dyDescent="0.35">
      <c r="B3" s="2" t="s">
        <v>24</v>
      </c>
    </row>
    <row r="5" spans="2:10" x14ac:dyDescent="0.3">
      <c r="B5" s="3" t="s">
        <v>25</v>
      </c>
    </row>
    <row r="6" spans="2:10" ht="40.799999999999997" customHeight="1" x14ac:dyDescent="0.3">
      <c r="B6" s="27" t="s">
        <v>26</v>
      </c>
      <c r="C6" s="28"/>
      <c r="D6" s="28"/>
      <c r="E6" s="28"/>
      <c r="F6" s="28"/>
      <c r="G6" s="28"/>
      <c r="H6" s="28"/>
      <c r="I6" s="28"/>
      <c r="J6" s="28"/>
    </row>
    <row r="7" spans="2:10" ht="40.799999999999997" customHeight="1" x14ac:dyDescent="0.3">
      <c r="B7" s="28"/>
      <c r="C7" s="28"/>
      <c r="D7" s="28"/>
      <c r="E7" s="28"/>
      <c r="F7" s="28"/>
      <c r="G7" s="28"/>
      <c r="H7" s="28"/>
      <c r="I7" s="28"/>
      <c r="J7" s="28"/>
    </row>
    <row r="8" spans="2:10" ht="40.799999999999997" customHeight="1" x14ac:dyDescent="0.3">
      <c r="B8" s="28"/>
      <c r="C8" s="28"/>
      <c r="D8" s="28"/>
      <c r="E8" s="28"/>
      <c r="F8" s="28"/>
      <c r="G8" s="28"/>
      <c r="H8" s="28"/>
      <c r="I8" s="28"/>
      <c r="J8" s="28"/>
    </row>
    <row r="9" spans="2:10" ht="40.799999999999997" customHeight="1" x14ac:dyDescent="0.3">
      <c r="B9" s="28"/>
      <c r="C9" s="28"/>
      <c r="D9" s="28"/>
      <c r="E9" s="28"/>
      <c r="F9" s="28"/>
      <c r="G9" s="28"/>
      <c r="H9" s="28"/>
      <c r="I9" s="28"/>
      <c r="J9" s="28"/>
    </row>
    <row r="10" spans="2:10" ht="40.799999999999997" customHeight="1" x14ac:dyDescent="0.3">
      <c r="B10" s="28"/>
      <c r="C10" s="28"/>
      <c r="D10" s="28"/>
      <c r="E10" s="28"/>
      <c r="F10" s="28"/>
      <c r="G10" s="28"/>
      <c r="H10" s="28"/>
      <c r="I10" s="28"/>
      <c r="J10" s="28"/>
    </row>
    <row r="11" spans="2:10" ht="40.799999999999997" customHeight="1" x14ac:dyDescent="0.3">
      <c r="B11" s="28"/>
      <c r="C11" s="28"/>
      <c r="D11" s="28"/>
      <c r="E11" s="28"/>
      <c r="F11" s="28"/>
      <c r="G11" s="28"/>
      <c r="H11" s="28"/>
      <c r="I11" s="28"/>
      <c r="J11" s="28"/>
    </row>
    <row r="12" spans="2:10" ht="40.799999999999997" customHeight="1" x14ac:dyDescent="0.3">
      <c r="B12" s="28"/>
      <c r="C12" s="28"/>
      <c r="D12" s="28"/>
      <c r="E12" s="28"/>
      <c r="F12" s="28"/>
      <c r="G12" s="28"/>
      <c r="H12" s="28"/>
      <c r="I12" s="28"/>
      <c r="J12" s="28"/>
    </row>
    <row r="13" spans="2:10" ht="40.799999999999997" customHeight="1" x14ac:dyDescent="0.3">
      <c r="B13" s="28"/>
      <c r="C13" s="28"/>
      <c r="D13" s="28"/>
      <c r="E13" s="28"/>
      <c r="F13" s="28"/>
      <c r="G13" s="28"/>
      <c r="H13" s="28"/>
      <c r="I13" s="28"/>
      <c r="J13" s="28"/>
    </row>
    <row r="14" spans="2:10" ht="40.799999999999997" customHeight="1" x14ac:dyDescent="0.3">
      <c r="B14" s="28"/>
      <c r="C14" s="28"/>
      <c r="D14" s="28"/>
      <c r="E14" s="28"/>
      <c r="F14" s="28"/>
      <c r="G14" s="28"/>
      <c r="H14" s="28"/>
      <c r="I14" s="28"/>
      <c r="J14" s="28"/>
    </row>
    <row r="16" spans="2:10" x14ac:dyDescent="0.3">
      <c r="B16" s="3" t="s">
        <v>27</v>
      </c>
    </row>
    <row r="18" spans="2:10" x14ac:dyDescent="0.3">
      <c r="B18" s="3" t="s">
        <v>28</v>
      </c>
    </row>
    <row r="19" spans="2:10" x14ac:dyDescent="0.3">
      <c r="B19" s="4"/>
      <c r="C19" s="4"/>
      <c r="D19" s="4"/>
      <c r="E19" s="5" t="s">
        <v>29</v>
      </c>
      <c r="F19" s="5" t="s">
        <v>5</v>
      </c>
      <c r="G19" s="5" t="s">
        <v>6</v>
      </c>
      <c r="H19" s="5" t="s">
        <v>6</v>
      </c>
      <c r="I19" s="5" t="s">
        <v>6</v>
      </c>
      <c r="J19" s="4"/>
    </row>
    <row r="20" spans="2:10" x14ac:dyDescent="0.3">
      <c r="B20" s="6" t="s">
        <v>7</v>
      </c>
      <c r="C20" s="6" t="s">
        <v>8</v>
      </c>
      <c r="D20" s="6" t="s">
        <v>9</v>
      </c>
      <c r="E20" s="6" t="s">
        <v>10</v>
      </c>
      <c r="F20" s="6" t="s">
        <v>11</v>
      </c>
      <c r="G20" s="6" t="s">
        <v>12</v>
      </c>
      <c r="H20" s="6" t="s">
        <v>13</v>
      </c>
      <c r="I20" s="6" t="s">
        <v>14</v>
      </c>
      <c r="J20" s="6" t="s">
        <v>15</v>
      </c>
    </row>
    <row r="21" spans="2:10" x14ac:dyDescent="0.3">
      <c r="B21" s="7">
        <v>0</v>
      </c>
      <c r="C21" s="7" t="s">
        <v>12</v>
      </c>
      <c r="D21" s="8">
        <v>48</v>
      </c>
      <c r="E21" s="9">
        <v>2</v>
      </c>
      <c r="F21" s="9">
        <v>4</v>
      </c>
      <c r="G21" s="9">
        <v>1</v>
      </c>
      <c r="H21" s="9">
        <v>0</v>
      </c>
      <c r="I21" s="9">
        <v>0</v>
      </c>
      <c r="J21" s="8">
        <f>D21/E21</f>
        <v>24</v>
      </c>
    </row>
    <row r="22" spans="2:10" x14ac:dyDescent="0.3">
      <c r="B22" s="7">
        <v>0</v>
      </c>
      <c r="C22" s="7" t="s">
        <v>13</v>
      </c>
      <c r="D22" s="8">
        <v>60</v>
      </c>
      <c r="E22" s="9">
        <v>4</v>
      </c>
      <c r="F22" s="9">
        <v>2</v>
      </c>
      <c r="G22" s="9">
        <v>0</v>
      </c>
      <c r="H22" s="9">
        <v>1</v>
      </c>
      <c r="I22" s="9">
        <v>0</v>
      </c>
      <c r="J22" s="10">
        <f>D22/E22</f>
        <v>15</v>
      </c>
    </row>
    <row r="23" spans="2:10" x14ac:dyDescent="0.3">
      <c r="B23" s="7">
        <v>0</v>
      </c>
      <c r="C23" s="7" t="s">
        <v>14</v>
      </c>
      <c r="D23" s="8">
        <v>45</v>
      </c>
      <c r="E23" s="9">
        <v>3</v>
      </c>
      <c r="F23" s="9">
        <v>0</v>
      </c>
      <c r="G23" s="9">
        <v>0</v>
      </c>
      <c r="H23" s="9">
        <v>0</v>
      </c>
      <c r="I23" s="9">
        <v>1</v>
      </c>
      <c r="J23" s="10">
        <f>D23/E23</f>
        <v>15</v>
      </c>
    </row>
    <row r="24" spans="2:10" x14ac:dyDescent="0.3">
      <c r="B24" s="11" t="s">
        <v>16</v>
      </c>
      <c r="C24" s="11" t="s">
        <v>17</v>
      </c>
      <c r="D24" s="12">
        <f>B21*D21+B22*D22+B23*D23</f>
        <v>0</v>
      </c>
      <c r="E24" s="13"/>
      <c r="F24" s="13"/>
      <c r="G24" s="13"/>
      <c r="H24" s="13"/>
      <c r="I24" s="13"/>
      <c r="J24" s="13"/>
    </row>
    <row r="25" spans="2:10" x14ac:dyDescent="0.3">
      <c r="B25" s="14" t="s">
        <v>18</v>
      </c>
      <c r="C25" s="14" t="s">
        <v>17</v>
      </c>
      <c r="D25" s="15"/>
      <c r="E25" s="16">
        <f>B$21*E21+B$22*E22+B$23*E23-E$19</f>
        <v>-6</v>
      </c>
      <c r="F25" s="17">
        <f>B$21*F21+B$22*F22+B$23*F23-F$19</f>
        <v>-4</v>
      </c>
      <c r="G25" s="17">
        <f>B$21*G21+B$22*G22+B$23*G23-G$19</f>
        <v>0</v>
      </c>
      <c r="H25" s="17">
        <f>B$21*H21+B$22*H22+B$23*H23-H$19</f>
        <v>0</v>
      </c>
      <c r="I25" s="17">
        <f>B$21*I21+B$22*I22+B$23*I23-I$19</f>
        <v>0</v>
      </c>
      <c r="J25" s="15"/>
    </row>
    <row r="27" spans="2:10" x14ac:dyDescent="0.3">
      <c r="B27" s="3" t="s">
        <v>30</v>
      </c>
    </row>
    <row r="28" spans="2:10" x14ac:dyDescent="0.3">
      <c r="B28" s="4"/>
      <c r="C28" s="4"/>
      <c r="D28" s="4"/>
      <c r="E28" s="5" t="s">
        <v>29</v>
      </c>
      <c r="F28" s="5" t="s">
        <v>5</v>
      </c>
      <c r="G28" s="5" t="s">
        <v>6</v>
      </c>
      <c r="H28" s="5" t="s">
        <v>6</v>
      </c>
      <c r="I28" s="5" t="s">
        <v>6</v>
      </c>
      <c r="J28" s="4"/>
    </row>
    <row r="29" spans="2:10" x14ac:dyDescent="0.3">
      <c r="B29" s="18" t="s">
        <v>7</v>
      </c>
      <c r="C29" s="18" t="s">
        <v>8</v>
      </c>
      <c r="D29" s="18" t="s">
        <v>9</v>
      </c>
      <c r="E29" s="18" t="s">
        <v>10</v>
      </c>
      <c r="F29" s="18" t="s">
        <v>11</v>
      </c>
      <c r="G29" s="18" t="s">
        <v>12</v>
      </c>
      <c r="H29" s="18" t="s">
        <v>13</v>
      </c>
      <c r="I29" s="18" t="s">
        <v>14</v>
      </c>
      <c r="J29" s="18" t="s">
        <v>15</v>
      </c>
    </row>
    <row r="30" spans="2:10" x14ac:dyDescent="0.3">
      <c r="B30" s="7">
        <v>0</v>
      </c>
      <c r="C30" s="7" t="s">
        <v>12</v>
      </c>
      <c r="D30" s="8">
        <v>18</v>
      </c>
      <c r="E30" s="9">
        <v>0</v>
      </c>
      <c r="F30" s="9">
        <v>3</v>
      </c>
      <c r="G30" s="9">
        <v>1</v>
      </c>
      <c r="H30" s="9">
        <v>-0.5</v>
      </c>
      <c r="I30" s="9">
        <v>0</v>
      </c>
      <c r="J30" s="9">
        <f>D30/F30</f>
        <v>6</v>
      </c>
    </row>
    <row r="31" spans="2:10" x14ac:dyDescent="0.3">
      <c r="B31" s="7">
        <v>6</v>
      </c>
      <c r="C31" s="7" t="s">
        <v>10</v>
      </c>
      <c r="D31" s="8">
        <v>15</v>
      </c>
      <c r="E31" s="9">
        <v>1</v>
      </c>
      <c r="F31" s="9">
        <v>0.5</v>
      </c>
      <c r="G31" s="9">
        <v>0</v>
      </c>
      <c r="H31" s="9">
        <v>0.25</v>
      </c>
      <c r="I31" s="9">
        <v>0</v>
      </c>
      <c r="J31" s="9">
        <f>D31/F31</f>
        <v>30</v>
      </c>
    </row>
    <row r="32" spans="2:10" x14ac:dyDescent="0.3">
      <c r="B32" s="7">
        <v>0</v>
      </c>
      <c r="C32" s="7" t="s">
        <v>14</v>
      </c>
      <c r="D32" s="21">
        <v>0</v>
      </c>
      <c r="E32" s="9">
        <v>0</v>
      </c>
      <c r="F32" s="9">
        <v>-1.5</v>
      </c>
      <c r="G32" s="9">
        <v>0</v>
      </c>
      <c r="H32" s="9">
        <v>-0.75</v>
      </c>
      <c r="I32" s="9">
        <v>1</v>
      </c>
      <c r="J32" s="9" t="s">
        <v>20</v>
      </c>
    </row>
    <row r="33" spans="2:10" x14ac:dyDescent="0.3">
      <c r="B33" s="11" t="s">
        <v>16</v>
      </c>
      <c r="C33" s="11" t="s">
        <v>17</v>
      </c>
      <c r="D33" s="12">
        <f>B30*D30+B31*D31+B32*D32</f>
        <v>90</v>
      </c>
      <c r="E33" s="13"/>
      <c r="F33" s="13"/>
      <c r="G33" s="13"/>
      <c r="H33" s="13"/>
      <c r="I33" s="13"/>
      <c r="J33" s="13"/>
    </row>
    <row r="34" spans="2:10" x14ac:dyDescent="0.3">
      <c r="B34" s="14" t="s">
        <v>18</v>
      </c>
      <c r="C34" s="14" t="s">
        <v>17</v>
      </c>
      <c r="D34" s="15"/>
      <c r="E34" s="17">
        <f>B$30*E30+B$31*E31+B$32*E32-E$28</f>
        <v>0</v>
      </c>
      <c r="F34" s="16">
        <f>B$30*F30+B$31*F31+B$32*F32-F$28</f>
        <v>-1</v>
      </c>
      <c r="G34" s="17">
        <f>B$30*G30+B$31*G31+B$32*G32-G$28</f>
        <v>0</v>
      </c>
      <c r="H34" s="17">
        <f>B$30*H30+B$31*H31+B$32*H32-H$28</f>
        <v>1.5</v>
      </c>
      <c r="I34" s="17">
        <f>B$30*I30+B$31*I31+B$32*I32-I$28</f>
        <v>0</v>
      </c>
      <c r="J34" s="15"/>
    </row>
    <row r="36" spans="2:10" x14ac:dyDescent="0.3">
      <c r="B36" s="3" t="s">
        <v>31</v>
      </c>
    </row>
    <row r="37" spans="2:10" x14ac:dyDescent="0.3">
      <c r="B37" s="4"/>
      <c r="C37" s="4"/>
      <c r="D37" s="4"/>
      <c r="E37" s="5" t="s">
        <v>29</v>
      </c>
      <c r="F37" s="5" t="s">
        <v>5</v>
      </c>
      <c r="G37" s="5" t="s">
        <v>6</v>
      </c>
      <c r="H37" s="5" t="s">
        <v>6</v>
      </c>
      <c r="I37" s="5" t="s">
        <v>6</v>
      </c>
      <c r="J37" s="4"/>
    </row>
    <row r="38" spans="2:10" x14ac:dyDescent="0.3">
      <c r="B38" s="18" t="s">
        <v>7</v>
      </c>
      <c r="C38" s="18" t="s">
        <v>8</v>
      </c>
      <c r="D38" s="18" t="s">
        <v>9</v>
      </c>
      <c r="E38" s="18" t="s">
        <v>10</v>
      </c>
      <c r="F38" s="18" t="s">
        <v>11</v>
      </c>
      <c r="G38" s="18" t="s">
        <v>12</v>
      </c>
      <c r="H38" s="18" t="s">
        <v>13</v>
      </c>
      <c r="I38" s="18" t="s">
        <v>14</v>
      </c>
      <c r="J38" s="18" t="s">
        <v>15</v>
      </c>
    </row>
    <row r="39" spans="2:10" x14ac:dyDescent="0.3">
      <c r="B39" s="7">
        <v>4</v>
      </c>
      <c r="C39" s="7" t="s">
        <v>11</v>
      </c>
      <c r="D39" s="8">
        <v>6</v>
      </c>
      <c r="E39" s="9">
        <v>0</v>
      </c>
      <c r="F39" s="9">
        <v>1</v>
      </c>
      <c r="G39" s="9">
        <v>0.33300000000000002</v>
      </c>
      <c r="H39" s="9">
        <v>-0.16700000000000001</v>
      </c>
      <c r="I39" s="9">
        <v>0</v>
      </c>
      <c r="J39" s="9" t="s">
        <v>20</v>
      </c>
    </row>
    <row r="40" spans="2:10" x14ac:dyDescent="0.3">
      <c r="B40" s="7">
        <v>6</v>
      </c>
      <c r="C40" s="7" t="s">
        <v>10</v>
      </c>
      <c r="D40" s="8">
        <v>12</v>
      </c>
      <c r="E40" s="9">
        <v>1</v>
      </c>
      <c r="F40" s="9">
        <v>0</v>
      </c>
      <c r="G40" s="9">
        <v>-0.16700000000000001</v>
      </c>
      <c r="H40" s="9">
        <v>0.33300000000000002</v>
      </c>
      <c r="I40" s="9">
        <v>0</v>
      </c>
      <c r="J40" s="9" t="s">
        <v>20</v>
      </c>
    </row>
    <row r="41" spans="2:10" x14ac:dyDescent="0.3">
      <c r="B41" s="7">
        <v>0</v>
      </c>
      <c r="C41" s="7" t="s">
        <v>14</v>
      </c>
      <c r="D41" s="8">
        <v>9</v>
      </c>
      <c r="E41" s="9">
        <v>0</v>
      </c>
      <c r="F41" s="9">
        <v>0</v>
      </c>
      <c r="G41" s="9">
        <v>0.5</v>
      </c>
      <c r="H41" s="9">
        <v>-1</v>
      </c>
      <c r="I41" s="9">
        <v>1</v>
      </c>
      <c r="J41" s="9" t="s">
        <v>20</v>
      </c>
    </row>
    <row r="42" spans="2:10" x14ac:dyDescent="0.3">
      <c r="B42" s="11" t="s">
        <v>16</v>
      </c>
      <c r="C42" s="11" t="s">
        <v>17</v>
      </c>
      <c r="D42" s="19">
        <f>B39*D39+B40*D40+B41*D41</f>
        <v>96</v>
      </c>
      <c r="E42" s="13"/>
      <c r="F42" s="13"/>
      <c r="G42" s="13"/>
      <c r="H42" s="13"/>
      <c r="I42" s="13"/>
      <c r="J42" s="13"/>
    </row>
    <row r="43" spans="2:10" x14ac:dyDescent="0.3">
      <c r="B43" s="14" t="s">
        <v>18</v>
      </c>
      <c r="C43" s="14" t="s">
        <v>17</v>
      </c>
      <c r="D43" s="15"/>
      <c r="E43" s="17">
        <f>B$39*E39+B$40*E40+B$41*E41-E$37</f>
        <v>0</v>
      </c>
      <c r="F43" s="17">
        <f>B$39*F39+B$40*F40+B$41*F41-F$37</f>
        <v>0</v>
      </c>
      <c r="G43" s="17">
        <f>B$39*G39+B$40*G40+B$41*G41-G$37</f>
        <v>0.33000000000000007</v>
      </c>
      <c r="H43" s="17">
        <f>B$39*H39+B$40*H40+B$41*H41-H$37</f>
        <v>1.33</v>
      </c>
      <c r="I43" s="17">
        <f>B$39*I39+B$40*I40+B$41*I41-I$37</f>
        <v>0</v>
      </c>
      <c r="J43" s="15"/>
    </row>
    <row r="46" spans="2:10" x14ac:dyDescent="0.3">
      <c r="B46" s="3" t="s">
        <v>22</v>
      </c>
    </row>
    <row r="47" spans="2:10" ht="21.6" customHeight="1" x14ac:dyDescent="0.3">
      <c r="B47" s="29" t="s">
        <v>32</v>
      </c>
      <c r="C47" s="30"/>
      <c r="D47" s="30"/>
      <c r="E47" s="30"/>
      <c r="F47" s="30"/>
      <c r="G47" s="30"/>
      <c r="H47" s="30"/>
      <c r="I47" s="30"/>
      <c r="J47" s="30"/>
    </row>
    <row r="48" spans="2:10" ht="21.6" customHeight="1" x14ac:dyDescent="0.3">
      <c r="B48" s="30"/>
      <c r="C48" s="30"/>
      <c r="D48" s="30"/>
      <c r="E48" s="30"/>
      <c r="F48" s="30"/>
      <c r="G48" s="30"/>
      <c r="H48" s="30"/>
      <c r="I48" s="30"/>
      <c r="J48" s="30"/>
    </row>
    <row r="49" spans="2:10" ht="21.6" customHeight="1" x14ac:dyDescent="0.3">
      <c r="B49" s="30"/>
      <c r="C49" s="30"/>
      <c r="D49" s="30"/>
      <c r="E49" s="30"/>
      <c r="F49" s="30"/>
      <c r="G49" s="30"/>
      <c r="H49" s="30"/>
      <c r="I49" s="30"/>
      <c r="J49" s="30"/>
    </row>
    <row r="50" spans="2:10" ht="21.6" customHeight="1" x14ac:dyDescent="0.3">
      <c r="B50" s="30"/>
      <c r="C50" s="30"/>
      <c r="D50" s="30"/>
      <c r="E50" s="30"/>
      <c r="F50" s="30"/>
      <c r="G50" s="30"/>
      <c r="H50" s="30"/>
      <c r="I50" s="30"/>
      <c r="J50" s="30"/>
    </row>
    <row r="51" spans="2:10" ht="21.6" customHeight="1" x14ac:dyDescent="0.3">
      <c r="B51" s="30"/>
      <c r="C51" s="30"/>
      <c r="D51" s="30"/>
      <c r="E51" s="30"/>
      <c r="F51" s="30"/>
      <c r="G51" s="30"/>
      <c r="H51" s="30"/>
      <c r="I51" s="30"/>
      <c r="J51" s="30"/>
    </row>
    <row r="52" spans="2:10" ht="21.6" customHeight="1" x14ac:dyDescent="0.3">
      <c r="B52" s="30"/>
      <c r="C52" s="30"/>
      <c r="D52" s="30"/>
      <c r="E52" s="30"/>
      <c r="F52" s="30"/>
      <c r="G52" s="30"/>
      <c r="H52" s="30"/>
      <c r="I52" s="30"/>
      <c r="J52" s="30"/>
    </row>
    <row r="53" spans="2:10" ht="21.6" customHeight="1" x14ac:dyDescent="0.3">
      <c r="B53" s="30"/>
      <c r="C53" s="30"/>
      <c r="D53" s="30"/>
      <c r="E53" s="30"/>
      <c r="F53" s="30"/>
      <c r="G53" s="30"/>
      <c r="H53" s="30"/>
      <c r="I53" s="30"/>
      <c r="J53" s="30"/>
    </row>
    <row r="54" spans="2:10" ht="21.6" customHeight="1" x14ac:dyDescent="0.3">
      <c r="B54" s="30"/>
      <c r="C54" s="30"/>
      <c r="D54" s="30"/>
      <c r="E54" s="30"/>
      <c r="F54" s="30"/>
      <c r="G54" s="30"/>
      <c r="H54" s="30"/>
      <c r="I54" s="30"/>
      <c r="J54" s="30"/>
    </row>
    <row r="55" spans="2:10" ht="21.6" customHeight="1" x14ac:dyDescent="0.3">
      <c r="B55" s="30"/>
      <c r="C55" s="30"/>
      <c r="D55" s="30"/>
      <c r="E55" s="30"/>
      <c r="F55" s="30"/>
      <c r="G55" s="30"/>
      <c r="H55" s="30"/>
      <c r="I55" s="30"/>
      <c r="J55" s="30"/>
    </row>
    <row r="56" spans="2:10" ht="21.6" customHeight="1" x14ac:dyDescent="0.3">
      <c r="B56" s="30"/>
      <c r="C56" s="30"/>
      <c r="D56" s="30"/>
      <c r="E56" s="30"/>
      <c r="F56" s="30"/>
      <c r="G56" s="30"/>
      <c r="H56" s="30"/>
      <c r="I56" s="30"/>
      <c r="J56" s="30"/>
    </row>
    <row r="57" spans="2:10" ht="21.6" customHeight="1" x14ac:dyDescent="0.3">
      <c r="B57" s="30"/>
      <c r="C57" s="30"/>
      <c r="D57" s="30"/>
      <c r="E57" s="30"/>
      <c r="F57" s="30"/>
      <c r="G57" s="30"/>
      <c r="H57" s="30"/>
      <c r="I57" s="30"/>
      <c r="J57" s="30"/>
    </row>
    <row r="58" spans="2:10" ht="21.6" customHeight="1" x14ac:dyDescent="0.3">
      <c r="B58" s="30"/>
      <c r="C58" s="30"/>
      <c r="D58" s="30"/>
      <c r="E58" s="30"/>
      <c r="F58" s="30"/>
      <c r="G58" s="30"/>
      <c r="H58" s="30"/>
      <c r="I58" s="30"/>
      <c r="J58" s="30"/>
    </row>
    <row r="59" spans="2:10" ht="21.6" customHeight="1" x14ac:dyDescent="0.3">
      <c r="B59" s="30"/>
      <c r="C59" s="30"/>
      <c r="D59" s="30"/>
      <c r="E59" s="30"/>
      <c r="F59" s="30"/>
      <c r="G59" s="30"/>
      <c r="H59" s="30"/>
      <c r="I59" s="30"/>
      <c r="J59" s="30"/>
    </row>
    <row r="60" spans="2:10" ht="21.6" customHeight="1" x14ac:dyDescent="0.3">
      <c r="B60" s="30"/>
      <c r="C60" s="30"/>
      <c r="D60" s="30"/>
      <c r="E60" s="30"/>
      <c r="F60" s="30"/>
      <c r="G60" s="30"/>
      <c r="H60" s="30"/>
      <c r="I60" s="30"/>
      <c r="J60" s="30"/>
    </row>
  </sheetData>
  <mergeCells count="2">
    <mergeCell ref="B6:J14"/>
    <mergeCell ref="B47:J60"/>
  </mergeCells>
  <pageMargins left="0.75" right="0.75" top="1" bottom="1" header="0.5" footer="0.5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41"/>
  <sheetViews>
    <sheetView topLeftCell="A25" workbookViewId="0">
      <selection activeCell="O10" sqref="O10"/>
    </sheetView>
  </sheetViews>
  <sheetFormatPr baseColWidth="10" defaultColWidth="8.88671875" defaultRowHeight="14.4" x14ac:dyDescent="0.3"/>
  <cols>
    <col min="1" max="1" width="3" customWidth="1"/>
    <col min="2" max="3" width="14" customWidth="1"/>
    <col min="4" max="10" width="15" customWidth="1"/>
  </cols>
  <sheetData>
    <row r="2" spans="2:10" x14ac:dyDescent="0.3">
      <c r="B2" s="1"/>
    </row>
    <row r="3" spans="2:10" ht="18" x14ac:dyDescent="0.35">
      <c r="B3" s="2" t="s">
        <v>33</v>
      </c>
    </row>
    <row r="5" spans="2:10" x14ac:dyDescent="0.3">
      <c r="B5" s="3" t="s">
        <v>34</v>
      </c>
    </row>
    <row r="6" spans="2:10" ht="27.6" customHeight="1" x14ac:dyDescent="0.3">
      <c r="B6" s="27" t="s">
        <v>35</v>
      </c>
      <c r="C6" s="28"/>
      <c r="D6" s="28"/>
      <c r="E6" s="28"/>
      <c r="F6" s="28"/>
      <c r="G6" s="28"/>
      <c r="H6" s="28"/>
      <c r="I6" s="28"/>
      <c r="J6" s="28"/>
    </row>
    <row r="7" spans="2:10" ht="27.6" customHeight="1" x14ac:dyDescent="0.3">
      <c r="B7" s="28"/>
      <c r="C7" s="28"/>
      <c r="D7" s="28"/>
      <c r="E7" s="28"/>
      <c r="F7" s="28"/>
      <c r="G7" s="28"/>
      <c r="H7" s="28"/>
      <c r="I7" s="28"/>
      <c r="J7" s="28"/>
    </row>
    <row r="8" spans="2:10" ht="27.6" customHeight="1" x14ac:dyDescent="0.3">
      <c r="B8" s="28"/>
      <c r="C8" s="28"/>
      <c r="D8" s="28"/>
      <c r="E8" s="28"/>
      <c r="F8" s="28"/>
      <c r="G8" s="28"/>
      <c r="H8" s="28"/>
      <c r="I8" s="28"/>
      <c r="J8" s="28"/>
    </row>
    <row r="9" spans="2:10" ht="27.6" customHeight="1" x14ac:dyDescent="0.3">
      <c r="B9" s="28"/>
      <c r="C9" s="28"/>
      <c r="D9" s="28"/>
      <c r="E9" s="28"/>
      <c r="F9" s="28"/>
      <c r="G9" s="28"/>
      <c r="H9" s="28"/>
      <c r="I9" s="28"/>
      <c r="J9" s="28"/>
    </row>
    <row r="10" spans="2:10" ht="27.6" customHeight="1" x14ac:dyDescent="0.3">
      <c r="B10" s="28"/>
      <c r="C10" s="28"/>
      <c r="D10" s="28"/>
      <c r="E10" s="28"/>
      <c r="F10" s="28"/>
      <c r="G10" s="28"/>
      <c r="H10" s="28"/>
      <c r="I10" s="28"/>
      <c r="J10" s="28"/>
    </row>
    <row r="11" spans="2:10" ht="27.6" customHeight="1" x14ac:dyDescent="0.3">
      <c r="B11" s="28"/>
      <c r="C11" s="28"/>
      <c r="D11" s="28"/>
      <c r="E11" s="28"/>
      <c r="F11" s="28"/>
      <c r="G11" s="28"/>
      <c r="H11" s="28"/>
      <c r="I11" s="28"/>
      <c r="J11" s="28"/>
    </row>
    <row r="12" spans="2:10" ht="27.6" customHeight="1" x14ac:dyDescent="0.3">
      <c r="B12" s="28"/>
      <c r="C12" s="28"/>
      <c r="D12" s="28"/>
      <c r="E12" s="28"/>
      <c r="F12" s="28"/>
      <c r="G12" s="28"/>
      <c r="H12" s="28"/>
      <c r="I12" s="28"/>
      <c r="J12" s="28"/>
    </row>
    <row r="13" spans="2:10" ht="27.6" customHeight="1" x14ac:dyDescent="0.3">
      <c r="B13" s="28"/>
      <c r="C13" s="28"/>
      <c r="D13" s="28"/>
      <c r="E13" s="28"/>
      <c r="F13" s="28"/>
      <c r="G13" s="28"/>
      <c r="H13" s="28"/>
      <c r="I13" s="28"/>
      <c r="J13" s="28"/>
    </row>
    <row r="14" spans="2:10" ht="27.6" customHeight="1" x14ac:dyDescent="0.3">
      <c r="B14" s="28"/>
      <c r="C14" s="28"/>
      <c r="D14" s="28"/>
      <c r="E14" s="28"/>
      <c r="F14" s="28"/>
      <c r="G14" s="28"/>
      <c r="H14" s="28"/>
      <c r="I14" s="28"/>
      <c r="J14" s="28"/>
    </row>
    <row r="16" spans="2:10" x14ac:dyDescent="0.3">
      <c r="B16" s="3" t="s">
        <v>36</v>
      </c>
    </row>
    <row r="18" spans="2:10" x14ac:dyDescent="0.3">
      <c r="B18" s="3" t="s">
        <v>37</v>
      </c>
    </row>
    <row r="19" spans="2:10" x14ac:dyDescent="0.3">
      <c r="B19" s="6" t="s">
        <v>7</v>
      </c>
      <c r="C19" s="6" t="s">
        <v>8</v>
      </c>
      <c r="D19" s="6" t="s">
        <v>9</v>
      </c>
      <c r="E19" s="6" t="s">
        <v>10</v>
      </c>
      <c r="F19" s="6" t="s">
        <v>11</v>
      </c>
      <c r="G19" s="6" t="s">
        <v>12</v>
      </c>
      <c r="H19" s="6" t="s">
        <v>13</v>
      </c>
      <c r="I19" s="6" t="s">
        <v>14</v>
      </c>
      <c r="J19" s="6" t="s">
        <v>15</v>
      </c>
    </row>
    <row r="20" spans="2:10" x14ac:dyDescent="0.3">
      <c r="B20" s="7">
        <v>8</v>
      </c>
      <c r="C20" s="7" t="s">
        <v>11</v>
      </c>
      <c r="D20" s="8">
        <v>2</v>
      </c>
      <c r="E20" s="9">
        <v>0</v>
      </c>
      <c r="F20" s="9">
        <v>1</v>
      </c>
      <c r="G20" s="22">
        <v>-1</v>
      </c>
      <c r="H20" s="9">
        <v>0</v>
      </c>
      <c r="I20" s="9">
        <v>0</v>
      </c>
      <c r="J20" s="9" t="s">
        <v>38</v>
      </c>
    </row>
    <row r="21" spans="2:10" x14ac:dyDescent="0.3">
      <c r="B21" s="7">
        <v>1</v>
      </c>
      <c r="C21" s="7" t="s">
        <v>10</v>
      </c>
      <c r="D21" s="8">
        <v>9</v>
      </c>
      <c r="E21" s="9">
        <v>1</v>
      </c>
      <c r="F21" s="9">
        <v>0</v>
      </c>
      <c r="G21" s="22">
        <v>3</v>
      </c>
      <c r="H21" s="9">
        <v>0</v>
      </c>
      <c r="I21" s="9">
        <v>-0.1</v>
      </c>
      <c r="J21" s="9" t="s">
        <v>38</v>
      </c>
    </row>
    <row r="22" spans="2:10" x14ac:dyDescent="0.3">
      <c r="B22" s="7">
        <v>0</v>
      </c>
      <c r="C22" s="7" t="s">
        <v>13</v>
      </c>
      <c r="D22" s="8">
        <v>24</v>
      </c>
      <c r="E22" s="9">
        <v>0</v>
      </c>
      <c r="F22" s="9">
        <v>0</v>
      </c>
      <c r="G22" s="22">
        <v>-6</v>
      </c>
      <c r="H22" s="9">
        <v>1</v>
      </c>
      <c r="I22" s="9">
        <v>0.4</v>
      </c>
      <c r="J22" s="9" t="s">
        <v>39</v>
      </c>
    </row>
    <row r="23" spans="2:10" x14ac:dyDescent="0.3">
      <c r="B23" s="11" t="s">
        <v>16</v>
      </c>
      <c r="C23" s="11" t="s">
        <v>17</v>
      </c>
      <c r="D23" s="11" t="s">
        <v>40</v>
      </c>
      <c r="E23" s="13"/>
      <c r="F23" s="13"/>
      <c r="G23" s="13"/>
      <c r="H23" s="13"/>
      <c r="I23" s="13"/>
      <c r="J23" s="13"/>
    </row>
    <row r="24" spans="2:10" x14ac:dyDescent="0.3">
      <c r="B24" s="14" t="s">
        <v>18</v>
      </c>
      <c r="C24" s="14" t="s">
        <v>17</v>
      </c>
      <c r="D24" s="15"/>
      <c r="E24" s="15">
        <v>0</v>
      </c>
      <c r="F24" s="15">
        <v>0</v>
      </c>
      <c r="G24" s="23">
        <v>-5</v>
      </c>
      <c r="H24" s="15">
        <v>0</v>
      </c>
      <c r="I24" s="15">
        <v>0.1</v>
      </c>
      <c r="J24" s="15"/>
    </row>
    <row r="27" spans="2:10" x14ac:dyDescent="0.3">
      <c r="B27" s="3" t="s">
        <v>22</v>
      </c>
    </row>
    <row r="28" spans="2:10" ht="18.600000000000001" customHeight="1" x14ac:dyDescent="0.3">
      <c r="B28" s="29" t="s">
        <v>41</v>
      </c>
      <c r="C28" s="30"/>
      <c r="D28" s="30"/>
      <c r="E28" s="30"/>
      <c r="F28" s="30"/>
      <c r="G28" s="30"/>
      <c r="H28" s="30"/>
      <c r="I28" s="30"/>
      <c r="J28" s="30"/>
    </row>
    <row r="29" spans="2:10" ht="18.600000000000001" customHeight="1" x14ac:dyDescent="0.3">
      <c r="B29" s="30"/>
      <c r="C29" s="30"/>
      <c r="D29" s="30"/>
      <c r="E29" s="30"/>
      <c r="F29" s="30"/>
      <c r="G29" s="30"/>
      <c r="H29" s="30"/>
      <c r="I29" s="30"/>
      <c r="J29" s="30"/>
    </row>
    <row r="30" spans="2:10" ht="18.600000000000001" customHeight="1" x14ac:dyDescent="0.3">
      <c r="B30" s="30"/>
      <c r="C30" s="30"/>
      <c r="D30" s="30"/>
      <c r="E30" s="30"/>
      <c r="F30" s="30"/>
      <c r="G30" s="30"/>
      <c r="H30" s="30"/>
      <c r="I30" s="30"/>
      <c r="J30" s="30"/>
    </row>
    <row r="31" spans="2:10" ht="18.600000000000001" customHeight="1" x14ac:dyDescent="0.3">
      <c r="B31" s="30"/>
      <c r="C31" s="30"/>
      <c r="D31" s="30"/>
      <c r="E31" s="30"/>
      <c r="F31" s="30"/>
      <c r="G31" s="30"/>
      <c r="H31" s="30"/>
      <c r="I31" s="30"/>
      <c r="J31" s="30"/>
    </row>
    <row r="32" spans="2:10" ht="18.600000000000001" customHeight="1" x14ac:dyDescent="0.3">
      <c r="B32" s="30"/>
      <c r="C32" s="30"/>
      <c r="D32" s="30"/>
      <c r="E32" s="30"/>
      <c r="F32" s="30"/>
      <c r="G32" s="30"/>
      <c r="H32" s="30"/>
      <c r="I32" s="30"/>
      <c r="J32" s="30"/>
    </row>
    <row r="33" spans="2:10" ht="18.600000000000001" customHeight="1" x14ac:dyDescent="0.3">
      <c r="B33" s="30"/>
      <c r="C33" s="30"/>
      <c r="D33" s="30"/>
      <c r="E33" s="30"/>
      <c r="F33" s="30"/>
      <c r="G33" s="30"/>
      <c r="H33" s="30"/>
      <c r="I33" s="30"/>
      <c r="J33" s="30"/>
    </row>
    <row r="34" spans="2:10" ht="18.600000000000001" customHeight="1" x14ac:dyDescent="0.3">
      <c r="B34" s="30"/>
      <c r="C34" s="30"/>
      <c r="D34" s="30"/>
      <c r="E34" s="30"/>
      <c r="F34" s="30"/>
      <c r="G34" s="30"/>
      <c r="H34" s="30"/>
      <c r="I34" s="30"/>
      <c r="J34" s="30"/>
    </row>
    <row r="35" spans="2:10" ht="18.600000000000001" customHeight="1" x14ac:dyDescent="0.3">
      <c r="B35" s="30"/>
      <c r="C35" s="30"/>
      <c r="D35" s="30"/>
      <c r="E35" s="30"/>
      <c r="F35" s="30"/>
      <c r="G35" s="30"/>
      <c r="H35" s="30"/>
      <c r="I35" s="30"/>
      <c r="J35" s="30"/>
    </row>
    <row r="36" spans="2:10" ht="18.600000000000001" customHeight="1" x14ac:dyDescent="0.3">
      <c r="B36" s="30"/>
      <c r="C36" s="30"/>
      <c r="D36" s="30"/>
      <c r="E36" s="30"/>
      <c r="F36" s="30"/>
      <c r="G36" s="30"/>
      <c r="H36" s="30"/>
      <c r="I36" s="30"/>
      <c r="J36" s="30"/>
    </row>
    <row r="37" spans="2:10" ht="18.600000000000001" customHeight="1" x14ac:dyDescent="0.3">
      <c r="B37" s="30"/>
      <c r="C37" s="30"/>
      <c r="D37" s="30"/>
      <c r="E37" s="30"/>
      <c r="F37" s="30"/>
      <c r="G37" s="30"/>
      <c r="H37" s="30"/>
      <c r="I37" s="30"/>
      <c r="J37" s="30"/>
    </row>
    <row r="38" spans="2:10" ht="18.600000000000001" customHeight="1" x14ac:dyDescent="0.3">
      <c r="B38" s="30"/>
      <c r="C38" s="30"/>
      <c r="D38" s="30"/>
      <c r="E38" s="30"/>
      <c r="F38" s="30"/>
      <c r="G38" s="30"/>
      <c r="H38" s="30"/>
      <c r="I38" s="30"/>
      <c r="J38" s="30"/>
    </row>
    <row r="39" spans="2:10" ht="18.600000000000001" customHeight="1" x14ac:dyDescent="0.3">
      <c r="B39" s="30"/>
      <c r="C39" s="30"/>
      <c r="D39" s="30"/>
      <c r="E39" s="30"/>
      <c r="F39" s="30"/>
      <c r="G39" s="30"/>
      <c r="H39" s="30"/>
      <c r="I39" s="30"/>
      <c r="J39" s="30"/>
    </row>
    <row r="40" spans="2:10" ht="18.600000000000001" customHeight="1" x14ac:dyDescent="0.3">
      <c r="B40" s="30"/>
      <c r="C40" s="30"/>
      <c r="D40" s="30"/>
      <c r="E40" s="30"/>
      <c r="F40" s="30"/>
      <c r="G40" s="30"/>
      <c r="H40" s="30"/>
      <c r="I40" s="30"/>
      <c r="J40" s="30"/>
    </row>
    <row r="41" spans="2:10" ht="18.600000000000001" customHeight="1" x14ac:dyDescent="0.3">
      <c r="B41" s="30"/>
      <c r="C41" s="30"/>
      <c r="D41" s="30"/>
      <c r="E41" s="30"/>
      <c r="F41" s="30"/>
      <c r="G41" s="30"/>
      <c r="H41" s="30"/>
      <c r="I41" s="30"/>
      <c r="J41" s="30"/>
    </row>
  </sheetData>
  <mergeCells count="2">
    <mergeCell ref="B28:J41"/>
    <mergeCell ref="B6:J14"/>
  </mergeCells>
  <pageMargins left="0.75" right="0.75" top="1" bottom="1" header="0.5" footer="0.5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41"/>
  <sheetViews>
    <sheetView workbookViewId="0">
      <selection activeCell="V13" sqref="V13"/>
    </sheetView>
  </sheetViews>
  <sheetFormatPr baseColWidth="10" defaultColWidth="8.88671875" defaultRowHeight="14.4" x14ac:dyDescent="0.3"/>
  <cols>
    <col min="1" max="1" width="3" customWidth="1"/>
    <col min="2" max="3" width="14" customWidth="1"/>
    <col min="4" max="10" width="15" customWidth="1"/>
  </cols>
  <sheetData>
    <row r="2" spans="2:10" x14ac:dyDescent="0.3">
      <c r="B2" s="1"/>
    </row>
    <row r="3" spans="2:10" ht="18" x14ac:dyDescent="0.35">
      <c r="B3" s="2" t="s">
        <v>42</v>
      </c>
    </row>
    <row r="5" spans="2:10" x14ac:dyDescent="0.3">
      <c r="B5" s="3" t="s">
        <v>43</v>
      </c>
    </row>
    <row r="6" spans="2:10" ht="27.6" customHeight="1" x14ac:dyDescent="0.3">
      <c r="B6" s="27" t="s">
        <v>44</v>
      </c>
      <c r="C6" s="28"/>
      <c r="D6" s="28"/>
      <c r="E6" s="28"/>
      <c r="F6" s="28"/>
      <c r="G6" s="28"/>
      <c r="H6" s="28"/>
      <c r="I6" s="28"/>
      <c r="J6" s="28"/>
    </row>
    <row r="7" spans="2:10" ht="27.6" customHeight="1" x14ac:dyDescent="0.3">
      <c r="B7" s="28"/>
      <c r="C7" s="28"/>
      <c r="D7" s="28"/>
      <c r="E7" s="28"/>
      <c r="F7" s="28"/>
      <c r="G7" s="28"/>
      <c r="H7" s="28"/>
      <c r="I7" s="28"/>
      <c r="J7" s="28"/>
    </row>
    <row r="8" spans="2:10" ht="27.6" customHeight="1" x14ac:dyDescent="0.3">
      <c r="B8" s="28"/>
      <c r="C8" s="28"/>
      <c r="D8" s="28"/>
      <c r="E8" s="28"/>
      <c r="F8" s="28"/>
      <c r="G8" s="28"/>
      <c r="H8" s="28"/>
      <c r="I8" s="28"/>
      <c r="J8" s="28"/>
    </row>
    <row r="9" spans="2:10" ht="27.6" customHeight="1" x14ac:dyDescent="0.3">
      <c r="B9" s="28"/>
      <c r="C9" s="28"/>
      <c r="D9" s="28"/>
      <c r="E9" s="28"/>
      <c r="F9" s="28"/>
      <c r="G9" s="28"/>
      <c r="H9" s="28"/>
      <c r="I9" s="28"/>
      <c r="J9" s="28"/>
    </row>
    <row r="10" spans="2:10" ht="27.6" customHeight="1" x14ac:dyDescent="0.3">
      <c r="B10" s="28"/>
      <c r="C10" s="28"/>
      <c r="D10" s="28"/>
      <c r="E10" s="28"/>
      <c r="F10" s="28"/>
      <c r="G10" s="28"/>
      <c r="H10" s="28"/>
      <c r="I10" s="28"/>
      <c r="J10" s="28"/>
    </row>
    <row r="11" spans="2:10" ht="27.6" customHeight="1" x14ac:dyDescent="0.3">
      <c r="B11" s="28"/>
      <c r="C11" s="28"/>
      <c r="D11" s="28"/>
      <c r="E11" s="28"/>
      <c r="F11" s="28"/>
      <c r="G11" s="28"/>
      <c r="H11" s="28"/>
      <c r="I11" s="28"/>
      <c r="J11" s="28"/>
    </row>
    <row r="12" spans="2:10" ht="27.6" customHeight="1" x14ac:dyDescent="0.3">
      <c r="B12" s="28"/>
      <c r="C12" s="28"/>
      <c r="D12" s="28"/>
      <c r="E12" s="28"/>
      <c r="F12" s="28"/>
      <c r="G12" s="28"/>
      <c r="H12" s="28"/>
      <c r="I12" s="28"/>
      <c r="J12" s="28"/>
    </row>
    <row r="13" spans="2:10" ht="27.6" customHeight="1" x14ac:dyDescent="0.3">
      <c r="B13" s="28"/>
      <c r="C13" s="28"/>
      <c r="D13" s="28"/>
      <c r="E13" s="28"/>
      <c r="F13" s="28"/>
      <c r="G13" s="28"/>
      <c r="H13" s="28"/>
      <c r="I13" s="28"/>
      <c r="J13" s="28"/>
    </row>
    <row r="14" spans="2:10" ht="27.6" customHeight="1" x14ac:dyDescent="0.3">
      <c r="B14" s="28"/>
      <c r="C14" s="28"/>
      <c r="D14" s="28"/>
      <c r="E14" s="28"/>
      <c r="F14" s="28"/>
      <c r="G14" s="28"/>
      <c r="H14" s="28"/>
      <c r="I14" s="28"/>
      <c r="J14" s="28"/>
    </row>
    <row r="16" spans="2:10" x14ac:dyDescent="0.3">
      <c r="B16" s="3" t="s">
        <v>45</v>
      </c>
    </row>
    <row r="18" spans="2:10" x14ac:dyDescent="0.3">
      <c r="B18" s="3" t="s">
        <v>46</v>
      </c>
    </row>
    <row r="19" spans="2:10" x14ac:dyDescent="0.3">
      <c r="B19" s="6" t="s">
        <v>7</v>
      </c>
      <c r="C19" s="6" t="s">
        <v>8</v>
      </c>
      <c r="D19" s="6" t="s">
        <v>9</v>
      </c>
      <c r="E19" s="6" t="s">
        <v>10</v>
      </c>
      <c r="F19" s="6" t="s">
        <v>11</v>
      </c>
      <c r="G19" s="6" t="s">
        <v>12</v>
      </c>
      <c r="H19" s="6" t="s">
        <v>13</v>
      </c>
      <c r="I19" s="6" t="s">
        <v>14</v>
      </c>
      <c r="J19" s="6" t="s">
        <v>47</v>
      </c>
    </row>
    <row r="20" spans="2:10" x14ac:dyDescent="0.3">
      <c r="B20" s="7">
        <v>0</v>
      </c>
      <c r="C20" s="7" t="s">
        <v>12</v>
      </c>
      <c r="D20" s="8">
        <v>5.67</v>
      </c>
      <c r="E20" s="9">
        <v>0.33</v>
      </c>
      <c r="F20" s="9">
        <v>0</v>
      </c>
      <c r="G20" s="9">
        <v>1</v>
      </c>
      <c r="H20" s="9">
        <v>-0.33</v>
      </c>
      <c r="I20" s="9">
        <v>0</v>
      </c>
      <c r="J20" s="9">
        <v>0</v>
      </c>
    </row>
    <row r="21" spans="2:10" x14ac:dyDescent="0.3">
      <c r="B21" s="7">
        <v>1</v>
      </c>
      <c r="C21" s="7" t="s">
        <v>11</v>
      </c>
      <c r="D21" s="8">
        <v>0.33</v>
      </c>
      <c r="E21" s="9">
        <v>0.67</v>
      </c>
      <c r="F21" s="9">
        <v>1</v>
      </c>
      <c r="G21" s="9">
        <v>0</v>
      </c>
      <c r="H21" s="9">
        <v>0.33</v>
      </c>
      <c r="I21" s="9">
        <v>0</v>
      </c>
      <c r="J21" s="9">
        <v>0</v>
      </c>
    </row>
    <row r="22" spans="2:10" x14ac:dyDescent="0.3">
      <c r="B22" s="7">
        <v>-1000</v>
      </c>
      <c r="C22" s="24" t="s">
        <v>47</v>
      </c>
      <c r="D22" s="21">
        <v>7.33</v>
      </c>
      <c r="E22" s="9">
        <v>-2.33</v>
      </c>
      <c r="F22" s="9">
        <v>0</v>
      </c>
      <c r="G22" s="9">
        <v>0</v>
      </c>
      <c r="H22" s="9">
        <v>-0.67</v>
      </c>
      <c r="I22" s="9">
        <v>-1</v>
      </c>
      <c r="J22" s="9">
        <v>1</v>
      </c>
    </row>
    <row r="23" spans="2:10" x14ac:dyDescent="0.3">
      <c r="B23" s="11" t="s">
        <v>16</v>
      </c>
      <c r="C23" s="11" t="s">
        <v>17</v>
      </c>
      <c r="D23" s="25" t="s">
        <v>48</v>
      </c>
      <c r="E23" s="13"/>
      <c r="F23" s="13"/>
      <c r="G23" s="13"/>
      <c r="H23" s="13"/>
      <c r="I23" s="13"/>
      <c r="J23" s="13"/>
    </row>
    <row r="24" spans="2:10" x14ac:dyDescent="0.3">
      <c r="B24" s="14" t="s">
        <v>18</v>
      </c>
      <c r="C24" s="14" t="s">
        <v>17</v>
      </c>
      <c r="D24" s="15"/>
      <c r="E24" s="26" t="s">
        <v>49</v>
      </c>
      <c r="F24" s="26" t="s">
        <v>49</v>
      </c>
      <c r="G24" s="26" t="s">
        <v>49</v>
      </c>
      <c r="H24" s="26" t="s">
        <v>50</v>
      </c>
      <c r="I24" s="26" t="s">
        <v>51</v>
      </c>
      <c r="J24" s="26" t="s">
        <v>49</v>
      </c>
    </row>
    <row r="27" spans="2:10" x14ac:dyDescent="0.3">
      <c r="B27" s="3" t="s">
        <v>22</v>
      </c>
    </row>
    <row r="28" spans="2:10" ht="17.399999999999999" customHeight="1" x14ac:dyDescent="0.3">
      <c r="B28" s="29" t="s">
        <v>52</v>
      </c>
      <c r="C28" s="30"/>
      <c r="D28" s="30"/>
      <c r="E28" s="30"/>
      <c r="F28" s="30"/>
      <c r="G28" s="30"/>
      <c r="H28" s="30"/>
      <c r="I28" s="30"/>
      <c r="J28" s="30"/>
    </row>
    <row r="29" spans="2:10" ht="17.399999999999999" customHeight="1" x14ac:dyDescent="0.3">
      <c r="B29" s="30"/>
      <c r="C29" s="30"/>
      <c r="D29" s="30"/>
      <c r="E29" s="30"/>
      <c r="F29" s="30"/>
      <c r="G29" s="30"/>
      <c r="H29" s="30"/>
      <c r="I29" s="30"/>
      <c r="J29" s="30"/>
    </row>
    <row r="30" spans="2:10" ht="17.399999999999999" customHeight="1" x14ac:dyDescent="0.3">
      <c r="B30" s="30"/>
      <c r="C30" s="30"/>
      <c r="D30" s="30"/>
      <c r="E30" s="30"/>
      <c r="F30" s="30"/>
      <c r="G30" s="30"/>
      <c r="H30" s="30"/>
      <c r="I30" s="30"/>
      <c r="J30" s="30"/>
    </row>
    <row r="31" spans="2:10" ht="17.399999999999999" customHeight="1" x14ac:dyDescent="0.3">
      <c r="B31" s="30"/>
      <c r="C31" s="30"/>
      <c r="D31" s="30"/>
      <c r="E31" s="30"/>
      <c r="F31" s="30"/>
      <c r="G31" s="30"/>
      <c r="H31" s="30"/>
      <c r="I31" s="30"/>
      <c r="J31" s="30"/>
    </row>
    <row r="32" spans="2:10" ht="17.399999999999999" customHeight="1" x14ac:dyDescent="0.3">
      <c r="B32" s="30"/>
      <c r="C32" s="30"/>
      <c r="D32" s="30"/>
      <c r="E32" s="30"/>
      <c r="F32" s="30"/>
      <c r="G32" s="30"/>
      <c r="H32" s="30"/>
      <c r="I32" s="30"/>
      <c r="J32" s="30"/>
    </row>
    <row r="33" spans="2:10" ht="17.399999999999999" customHeight="1" x14ac:dyDescent="0.3">
      <c r="B33" s="30"/>
      <c r="C33" s="30"/>
      <c r="D33" s="30"/>
      <c r="E33" s="30"/>
      <c r="F33" s="30"/>
      <c r="G33" s="30"/>
      <c r="H33" s="30"/>
      <c r="I33" s="30"/>
      <c r="J33" s="30"/>
    </row>
    <row r="34" spans="2:10" ht="17.399999999999999" customHeight="1" x14ac:dyDescent="0.3">
      <c r="B34" s="30"/>
      <c r="C34" s="30"/>
      <c r="D34" s="30"/>
      <c r="E34" s="30"/>
      <c r="F34" s="30"/>
      <c r="G34" s="30"/>
      <c r="H34" s="30"/>
      <c r="I34" s="30"/>
      <c r="J34" s="30"/>
    </row>
    <row r="35" spans="2:10" ht="17.399999999999999" customHeight="1" x14ac:dyDescent="0.3">
      <c r="B35" s="30"/>
      <c r="C35" s="30"/>
      <c r="D35" s="30"/>
      <c r="E35" s="30"/>
      <c r="F35" s="30"/>
      <c r="G35" s="30"/>
      <c r="H35" s="30"/>
      <c r="I35" s="30"/>
      <c r="J35" s="30"/>
    </row>
    <row r="36" spans="2:10" ht="17.399999999999999" customHeight="1" x14ac:dyDescent="0.3">
      <c r="B36" s="30"/>
      <c r="C36" s="30"/>
      <c r="D36" s="30"/>
      <c r="E36" s="30"/>
      <c r="F36" s="30"/>
      <c r="G36" s="30"/>
      <c r="H36" s="30"/>
      <c r="I36" s="30"/>
      <c r="J36" s="30"/>
    </row>
    <row r="37" spans="2:10" ht="17.399999999999999" customHeight="1" x14ac:dyDescent="0.3">
      <c r="B37" s="30"/>
      <c r="C37" s="30"/>
      <c r="D37" s="30"/>
      <c r="E37" s="30"/>
      <c r="F37" s="30"/>
      <c r="G37" s="30"/>
      <c r="H37" s="30"/>
      <c r="I37" s="30"/>
      <c r="J37" s="30"/>
    </row>
    <row r="38" spans="2:10" ht="17.399999999999999" customHeight="1" x14ac:dyDescent="0.3">
      <c r="B38" s="30"/>
      <c r="C38" s="30"/>
      <c r="D38" s="30"/>
      <c r="E38" s="30"/>
      <c r="F38" s="30"/>
      <c r="G38" s="30"/>
      <c r="H38" s="30"/>
      <c r="I38" s="30"/>
      <c r="J38" s="30"/>
    </row>
    <row r="39" spans="2:10" ht="17.399999999999999" customHeight="1" x14ac:dyDescent="0.3">
      <c r="B39" s="30"/>
      <c r="C39" s="30"/>
      <c r="D39" s="30"/>
      <c r="E39" s="30"/>
      <c r="F39" s="30"/>
      <c r="G39" s="30"/>
      <c r="H39" s="30"/>
      <c r="I39" s="30"/>
      <c r="J39" s="30"/>
    </row>
    <row r="40" spans="2:10" ht="17.399999999999999" customHeight="1" x14ac:dyDescent="0.3">
      <c r="B40" s="30"/>
      <c r="C40" s="30"/>
      <c r="D40" s="30"/>
      <c r="E40" s="30"/>
      <c r="F40" s="30"/>
      <c r="G40" s="30"/>
      <c r="H40" s="30"/>
      <c r="I40" s="30"/>
      <c r="J40" s="30"/>
    </row>
    <row r="41" spans="2:10" ht="17.399999999999999" customHeight="1" x14ac:dyDescent="0.3">
      <c r="B41" s="30"/>
      <c r="C41" s="30"/>
      <c r="D41" s="30"/>
      <c r="E41" s="30"/>
      <c r="F41" s="30"/>
      <c r="G41" s="30"/>
      <c r="H41" s="30"/>
      <c r="I41" s="30"/>
      <c r="J41" s="30"/>
    </row>
  </sheetData>
  <mergeCells count="2">
    <mergeCell ref="B28:J41"/>
    <mergeCell ref="B6:J14"/>
  </mergeCells>
  <pageMargins left="0.75" right="0.75" top="1" bottom="1" header="0.5" footer="0.5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4.7 - Alternativas</vt:lpstr>
      <vt:lpstr>4.8 - Degenerada</vt:lpstr>
      <vt:lpstr>4.10 - No Acotada</vt:lpstr>
      <vt:lpstr>4.12 - Incompatible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Uriel Villalonga</cp:lastModifiedBy>
  <dcterms:created xsi:type="dcterms:W3CDTF">2026-10-09T23:46:29Z</dcterms:created>
  <dcterms:modified xsi:type="dcterms:W3CDTF">2026-10-10T00:49:40Z</dcterms:modified>
</cp:coreProperties>
</file>