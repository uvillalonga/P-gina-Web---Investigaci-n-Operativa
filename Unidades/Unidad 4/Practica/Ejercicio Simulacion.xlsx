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8_{D0F2AC92-5CA6-4D72-BDB7-DAD8EA7F4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7" i="1" l="1"/>
  <c r="K67" i="1"/>
  <c r="L66" i="1"/>
  <c r="L65" i="1"/>
  <c r="J74" i="1"/>
  <c r="J73" i="1"/>
  <c r="J72" i="1"/>
  <c r="J71" i="1"/>
  <c r="J70" i="1"/>
  <c r="J69" i="1"/>
  <c r="J68" i="1"/>
  <c r="J67" i="1"/>
  <c r="J66" i="1"/>
  <c r="J65" i="1"/>
  <c r="D74" i="1"/>
  <c r="D73" i="1"/>
  <c r="D72" i="1"/>
  <c r="D71" i="1"/>
  <c r="D70" i="1"/>
  <c r="D69" i="1"/>
  <c r="D68" i="1"/>
  <c r="D67" i="1"/>
  <c r="D66" i="1"/>
  <c r="D65" i="1"/>
  <c r="E65" i="1" s="1"/>
  <c r="K65" i="1" s="1"/>
  <c r="I50" i="1"/>
  <c r="J50" i="1" s="1"/>
  <c r="I51" i="1" s="1"/>
  <c r="J49" i="1"/>
  <c r="I49" i="1"/>
  <c r="J48" i="1"/>
  <c r="I48" i="1"/>
  <c r="E48" i="1"/>
  <c r="D57" i="1"/>
  <c r="D56" i="1"/>
  <c r="D55" i="1"/>
  <c r="D54" i="1"/>
  <c r="D53" i="1"/>
  <c r="D52" i="1"/>
  <c r="D51" i="1"/>
  <c r="D50" i="1"/>
  <c r="D49" i="1"/>
  <c r="D48" i="1"/>
  <c r="I31" i="1"/>
  <c r="K31" i="1" s="1"/>
  <c r="E49" i="1"/>
  <c r="G48" i="1"/>
  <c r="I40" i="1"/>
  <c r="I39" i="1"/>
  <c r="I38" i="1"/>
  <c r="I37" i="1"/>
  <c r="I36" i="1"/>
  <c r="I35" i="1"/>
  <c r="I34" i="1"/>
  <c r="I33" i="1"/>
  <c r="I32" i="1"/>
  <c r="D32" i="1"/>
  <c r="D33" i="1" s="1"/>
  <c r="D34" i="1" s="1"/>
  <c r="D35" i="1" s="1"/>
  <c r="D36" i="1" s="1"/>
  <c r="D37" i="1" s="1"/>
  <c r="D38" i="1" s="1"/>
  <c r="D39" i="1" s="1"/>
  <c r="D40" i="1" s="1"/>
  <c r="F31" i="1"/>
  <c r="G65" i="1" l="1"/>
  <c r="E66" i="1"/>
  <c r="E50" i="1"/>
  <c r="G50" i="1"/>
  <c r="E51" i="1"/>
  <c r="E52" i="1" s="1"/>
  <c r="E53" i="1" s="1"/>
  <c r="E54" i="1" s="1"/>
  <c r="E55" i="1" s="1"/>
  <c r="E56" i="1" s="1"/>
  <c r="E57" i="1" s="1"/>
  <c r="J51" i="1"/>
  <c r="I52" i="1" s="1"/>
  <c r="G49" i="1"/>
  <c r="J32" i="1"/>
  <c r="K32" i="1" s="1"/>
  <c r="J33" i="1" s="1"/>
  <c r="F33" i="1" s="1"/>
  <c r="I14" i="1"/>
  <c r="H15" i="1" s="1"/>
  <c r="F13" i="1"/>
  <c r="D14" i="1"/>
  <c r="F14" i="1" s="1"/>
  <c r="K66" i="1" l="1"/>
  <c r="E67" i="1"/>
  <c r="G51" i="1"/>
  <c r="J52" i="1"/>
  <c r="I53" i="1" s="1"/>
  <c r="G52" i="1"/>
  <c r="K33" i="1"/>
  <c r="J34" i="1" s="1"/>
  <c r="K34" i="1" s="1"/>
  <c r="J35" i="1" s="1"/>
  <c r="F32" i="1"/>
  <c r="D15" i="1"/>
  <c r="D16" i="1" s="1"/>
  <c r="D17" i="1" s="1"/>
  <c r="D18" i="1" s="1"/>
  <c r="D19" i="1" s="1"/>
  <c r="D20" i="1" s="1"/>
  <c r="D21" i="1" s="1"/>
  <c r="D22" i="1" s="1"/>
  <c r="F15" i="1"/>
  <c r="I15" i="1"/>
  <c r="H16" i="1" s="1"/>
  <c r="E68" i="1" l="1"/>
  <c r="E69" i="1" s="1"/>
  <c r="E70" i="1" s="1"/>
  <c r="E71" i="1" s="1"/>
  <c r="E72" i="1" s="1"/>
  <c r="E73" i="1" s="1"/>
  <c r="E74" i="1" s="1"/>
  <c r="G66" i="1"/>
  <c r="J53" i="1"/>
  <c r="I54" i="1" s="1"/>
  <c r="G53" i="1"/>
  <c r="F34" i="1"/>
  <c r="I16" i="1"/>
  <c r="H17" i="1" s="1"/>
  <c r="F16" i="1"/>
  <c r="K35" i="1"/>
  <c r="J36" i="1" s="1"/>
  <c r="F35" i="1"/>
  <c r="K68" i="1" l="1"/>
  <c r="L68" i="1" s="1"/>
  <c r="G67" i="1"/>
  <c r="J54" i="1"/>
  <c r="I55" i="1" s="1"/>
  <c r="G54" i="1"/>
  <c r="I17" i="1"/>
  <c r="H18" i="1" s="1"/>
  <c r="F17" i="1"/>
  <c r="K36" i="1"/>
  <c r="J37" i="1" s="1"/>
  <c r="F36" i="1"/>
  <c r="G68" i="1" l="1"/>
  <c r="K69" i="1"/>
  <c r="L69" i="1" s="1"/>
  <c r="J55" i="1"/>
  <c r="I56" i="1" s="1"/>
  <c r="G55" i="1"/>
  <c r="F18" i="1"/>
  <c r="I18" i="1"/>
  <c r="H19" i="1" s="1"/>
  <c r="K37" i="1"/>
  <c r="J38" i="1" s="1"/>
  <c r="F37" i="1"/>
  <c r="K70" i="1" l="1"/>
  <c r="L70" i="1" s="1"/>
  <c r="G69" i="1"/>
  <c r="G56" i="1"/>
  <c r="J56" i="1"/>
  <c r="I57" i="1" s="1"/>
  <c r="I19" i="1"/>
  <c r="H20" i="1" s="1"/>
  <c r="F19" i="1"/>
  <c r="K38" i="1"/>
  <c r="J39" i="1" s="1"/>
  <c r="F38" i="1"/>
  <c r="K71" i="1" l="1"/>
  <c r="L71" i="1" s="1"/>
  <c r="G70" i="1"/>
  <c r="J57" i="1"/>
  <c r="G57" i="1"/>
  <c r="G59" i="1" s="1"/>
  <c r="I20" i="1"/>
  <c r="H21" i="1" s="1"/>
  <c r="F20" i="1"/>
  <c r="K39" i="1"/>
  <c r="J40" i="1" s="1"/>
  <c r="F39" i="1"/>
  <c r="K72" i="1" l="1"/>
  <c r="L72" i="1" s="1"/>
  <c r="G71" i="1"/>
  <c r="F21" i="1"/>
  <c r="I21" i="1"/>
  <c r="H22" i="1" s="1"/>
  <c r="F40" i="1"/>
  <c r="F42" i="1" s="1"/>
  <c r="K40" i="1"/>
  <c r="K73" i="1" l="1"/>
  <c r="L73" i="1" s="1"/>
  <c r="G72" i="1"/>
  <c r="F22" i="1"/>
  <c r="F24" i="1" s="1"/>
  <c r="I22" i="1"/>
  <c r="G73" i="1" l="1"/>
  <c r="K74" i="1"/>
  <c r="L74" i="1" s="1"/>
  <c r="G74" i="1" l="1"/>
  <c r="G76" i="1" s="1"/>
</calcChain>
</file>

<file path=xl/sharedStrings.xml><?xml version="1.0" encoding="utf-8"?>
<sst xmlns="http://schemas.openxmlformats.org/spreadsheetml/2006/main" count="90" uniqueCount="27">
  <si>
    <t>Nro de Llegada</t>
  </si>
  <si>
    <t>Nro Aleatorio</t>
  </si>
  <si>
    <t>Momento de Arribo</t>
  </si>
  <si>
    <t>Lq</t>
  </si>
  <si>
    <t>Tiempo de Espera</t>
  </si>
  <si>
    <t>Momento en que es atendido</t>
  </si>
  <si>
    <t>Tiempo de Salida</t>
  </si>
  <si>
    <t>0,03</t>
  </si>
  <si>
    <t>0,05</t>
  </si>
  <si>
    <t>0,12</t>
  </si>
  <si>
    <t>0,91</t>
  </si>
  <si>
    <t>0,31</t>
  </si>
  <si>
    <t>0,3</t>
  </si>
  <si>
    <t>0,69</t>
  </si>
  <si>
    <t>0,21</t>
  </si>
  <si>
    <t>0,06</t>
  </si>
  <si>
    <t>0,75</t>
  </si>
  <si>
    <t>Promedio</t>
  </si>
  <si>
    <t>Llegada</t>
  </si>
  <si>
    <t>Tiempo de atención (min)</t>
  </si>
  <si>
    <t>*Suponemos un proceso no continuo</t>
  </si>
  <si>
    <t>Ejemplo suponiendo salidas variables</t>
  </si>
  <si>
    <t>Tiempo de atención ajustado</t>
  </si>
  <si>
    <t>Ejemplo suponiendo entradas variables considerando que en promedio llega 1 persona cada 4 minutos</t>
  </si>
  <si>
    <t>Tiempo de ingreso</t>
  </si>
  <si>
    <t>Tiempo de ingreso ajustado</t>
  </si>
  <si>
    <t>Ejemplo suponiendo entradas variables considerando que en promedio llega 1 persona cada 4 minutos y salidas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</si>
</sst>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92653</xdr:colOff>
      <xdr:row>5</xdr:row>
      <xdr:rowOff>81395</xdr:rowOff>
    </xdr:from>
    <xdr:to>
      <xdr:col>5</xdr:col>
      <xdr:colOff>720437</xdr:colOff>
      <xdr:row>10</xdr:row>
      <xdr:rowOff>90920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2403" y="1033895"/>
          <a:ext cx="4446443" cy="962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>
    <xdr:from>
      <xdr:col>0</xdr:col>
      <xdr:colOff>771525</xdr:colOff>
      <xdr:row>0</xdr:row>
      <xdr:rowOff>57150</xdr:rowOff>
    </xdr:from>
    <xdr:to>
      <xdr:col>8</xdr:col>
      <xdr:colOff>304700</xdr:colOff>
      <xdr:row>5</xdr:row>
      <xdr:rowOff>58116</xdr:rowOff>
    </xdr:to>
    <xdr:sp macro="" textlink="">
      <xdr:nvSpPr>
        <xdr:cNvPr id="3" name="CuadroTexto 15">
          <a:extLst>
            <a:ext uri="{FF2B5EF4-FFF2-40B4-BE49-F238E27FC236}">
              <a16:creationId xmlns:a16="http://schemas.microsoft.com/office/drawing/2014/main" id="{497AB3CC-DA92-4F71-A2B6-1BFACD0E7130}"/>
            </a:ext>
          </a:extLst>
        </xdr:cNvPr>
        <xdr:cNvSpPr txBox="1"/>
      </xdr:nvSpPr>
      <xdr:spPr>
        <a:xfrm>
          <a:off x="771525" y="57150"/>
          <a:ext cx="7196470" cy="953466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AR" sz="1100"/>
            <a:t>Se sabe que cada orden de trabajo se realiza siempre en 5 minutos se ha decidido simular las llegadas para analizar si es necesario agregar una segunda isla teniendo en cuenta que se desea que el tiempo de espera sea menor a 3 minutos en promedio. Los nros aleatorios obtenidos son: 0,03 - 0,05 - 0,12 - 0,91 - 0,31 - 0,3 - 0,69 - 0,21 - 0,06 - 0,75</a:t>
          </a:r>
        </a:p>
        <a:p>
          <a:r>
            <a:rPr lang="es-AR" sz="1100"/>
            <a:t>Considerar que la finalización del servicio coincide con la salida de la orden de trabajo fabricación de la isla de soldadura.</a:t>
          </a:r>
        </a:p>
        <a:p>
          <a:r>
            <a:rPr lang="es-AR" sz="1100"/>
            <a:t>Indicar el resultado de dicho análisis.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L76"/>
  <sheetViews>
    <sheetView showGridLines="0" tabSelected="1" zoomScaleNormal="100" workbookViewId="0">
      <selection activeCell="A77" sqref="A77"/>
    </sheetView>
  </sheetViews>
  <sheetFormatPr baseColWidth="10" defaultColWidth="11.5546875" defaultRowHeight="14.4" x14ac:dyDescent="0.3"/>
  <cols>
    <col min="1" max="1" width="14.109375" bestFit="1" customWidth="1"/>
    <col min="2" max="2" width="17.5546875" bestFit="1" customWidth="1"/>
    <col min="3" max="3" width="13" bestFit="1" customWidth="1"/>
    <col min="4" max="4" width="25.6640625" bestFit="1" customWidth="1"/>
    <col min="5" max="5" width="18.5546875" bestFit="1" customWidth="1"/>
    <col min="6" max="6" width="16.88671875" bestFit="1" customWidth="1"/>
    <col min="7" max="7" width="24.109375" bestFit="1" customWidth="1"/>
    <col min="8" max="8" width="27.5546875" bestFit="1" customWidth="1"/>
    <col min="9" max="9" width="27" bestFit="1" customWidth="1"/>
    <col min="10" max="11" width="27.5546875" bestFit="1" customWidth="1"/>
    <col min="12" max="12" width="16.33203125" bestFit="1" customWidth="1"/>
  </cols>
  <sheetData>
    <row r="12" spans="1:9" x14ac:dyDescent="0.3">
      <c r="A12" s="1" t="s">
        <v>0</v>
      </c>
      <c r="B12" s="1" t="s">
        <v>1</v>
      </c>
      <c r="C12" s="2" t="s">
        <v>18</v>
      </c>
      <c r="D12" s="2" t="s">
        <v>2</v>
      </c>
      <c r="E12" s="2" t="s">
        <v>3</v>
      </c>
      <c r="F12" s="2" t="s">
        <v>4</v>
      </c>
      <c r="G12" s="2" t="s">
        <v>19</v>
      </c>
      <c r="H12" s="2" t="s">
        <v>5</v>
      </c>
      <c r="I12" s="2" t="s">
        <v>6</v>
      </c>
    </row>
    <row r="13" spans="1:9" x14ac:dyDescent="0.3">
      <c r="A13" s="1">
        <v>1</v>
      </c>
      <c r="B13" s="1" t="s">
        <v>7</v>
      </c>
      <c r="C13" s="1">
        <v>1</v>
      </c>
      <c r="D13" s="1">
        <v>1</v>
      </c>
      <c r="E13" s="1">
        <v>0</v>
      </c>
      <c r="F13" s="5">
        <f>+H13-D13</f>
        <v>0</v>
      </c>
      <c r="G13" s="1">
        <v>5</v>
      </c>
      <c r="H13" s="5">
        <v>1</v>
      </c>
      <c r="I13" s="5">
        <v>6</v>
      </c>
    </row>
    <row r="14" spans="1:9" x14ac:dyDescent="0.3">
      <c r="A14" s="1">
        <v>2</v>
      </c>
      <c r="B14" s="1" t="s">
        <v>8</v>
      </c>
      <c r="C14" s="1">
        <v>1</v>
      </c>
      <c r="D14" s="1">
        <f>+C14+D13</f>
        <v>2</v>
      </c>
      <c r="E14" s="1">
        <v>1</v>
      </c>
      <c r="F14" s="5">
        <f>+H14-D14</f>
        <v>4</v>
      </c>
      <c r="G14" s="1">
        <v>5</v>
      </c>
      <c r="H14" s="5">
        <v>6</v>
      </c>
      <c r="I14" s="5">
        <f>+H14+G14</f>
        <v>11</v>
      </c>
    </row>
    <row r="15" spans="1:9" x14ac:dyDescent="0.3">
      <c r="A15" s="1">
        <v>3</v>
      </c>
      <c r="B15" s="1" t="s">
        <v>9</v>
      </c>
      <c r="C15" s="1">
        <v>3</v>
      </c>
      <c r="D15" s="1">
        <f>+C15+D14</f>
        <v>5</v>
      </c>
      <c r="E15" s="1">
        <v>2</v>
      </c>
      <c r="F15" s="5">
        <f>+H15-D15</f>
        <v>6</v>
      </c>
      <c r="G15" s="1">
        <v>5</v>
      </c>
      <c r="H15" s="5">
        <f>+I14</f>
        <v>11</v>
      </c>
      <c r="I15" s="5">
        <f>+H15+G15</f>
        <v>16</v>
      </c>
    </row>
    <row r="16" spans="1:9" x14ac:dyDescent="0.3">
      <c r="A16" s="1">
        <v>4</v>
      </c>
      <c r="B16" s="1" t="s">
        <v>10</v>
      </c>
      <c r="C16" s="1">
        <v>7</v>
      </c>
      <c r="D16" s="1">
        <f t="shared" ref="D16:D22" si="0">+C16+D15</f>
        <v>12</v>
      </c>
      <c r="E16" s="1">
        <v>1</v>
      </c>
      <c r="F16" s="5">
        <f t="shared" ref="F16:F22" si="1">+H16-D16</f>
        <v>4</v>
      </c>
      <c r="G16" s="1">
        <v>5</v>
      </c>
      <c r="H16" s="5">
        <f>+I15</f>
        <v>16</v>
      </c>
      <c r="I16" s="5">
        <f t="shared" ref="I16:I22" si="2">+H16+G16</f>
        <v>21</v>
      </c>
    </row>
    <row r="17" spans="1:11" x14ac:dyDescent="0.3">
      <c r="A17" s="1">
        <v>5</v>
      </c>
      <c r="B17" s="1" t="s">
        <v>11</v>
      </c>
      <c r="C17" s="1">
        <v>5</v>
      </c>
      <c r="D17" s="1">
        <f t="shared" si="0"/>
        <v>17</v>
      </c>
      <c r="E17" s="1">
        <v>1</v>
      </c>
      <c r="F17" s="5">
        <f t="shared" si="1"/>
        <v>4</v>
      </c>
      <c r="G17" s="1">
        <v>5</v>
      </c>
      <c r="H17" s="5">
        <f t="shared" ref="H17:H22" si="3">+I16</f>
        <v>21</v>
      </c>
      <c r="I17" s="5">
        <f t="shared" si="2"/>
        <v>26</v>
      </c>
    </row>
    <row r="18" spans="1:11" x14ac:dyDescent="0.3">
      <c r="A18" s="1">
        <v>6</v>
      </c>
      <c r="B18" s="1" t="s">
        <v>12</v>
      </c>
      <c r="C18" s="1">
        <v>5</v>
      </c>
      <c r="D18" s="1">
        <f t="shared" si="0"/>
        <v>22</v>
      </c>
      <c r="E18" s="1">
        <v>1</v>
      </c>
      <c r="F18" s="5">
        <f t="shared" si="1"/>
        <v>4</v>
      </c>
      <c r="G18" s="1">
        <v>5</v>
      </c>
      <c r="H18" s="5">
        <f t="shared" si="3"/>
        <v>26</v>
      </c>
      <c r="I18" s="5">
        <f t="shared" si="2"/>
        <v>31</v>
      </c>
    </row>
    <row r="19" spans="1:11" x14ac:dyDescent="0.3">
      <c r="A19" s="1">
        <v>7</v>
      </c>
      <c r="B19" s="1" t="s">
        <v>13</v>
      </c>
      <c r="C19" s="1">
        <v>7</v>
      </c>
      <c r="D19" s="1">
        <f t="shared" si="0"/>
        <v>29</v>
      </c>
      <c r="E19" s="1">
        <v>1</v>
      </c>
      <c r="F19" s="5">
        <f t="shared" si="1"/>
        <v>2</v>
      </c>
      <c r="G19" s="1">
        <v>5</v>
      </c>
      <c r="H19" s="5">
        <f t="shared" si="3"/>
        <v>31</v>
      </c>
      <c r="I19" s="5">
        <f t="shared" si="2"/>
        <v>36</v>
      </c>
    </row>
    <row r="20" spans="1:11" x14ac:dyDescent="0.3">
      <c r="A20" s="1">
        <v>8</v>
      </c>
      <c r="B20" s="1" t="s">
        <v>14</v>
      </c>
      <c r="C20" s="1">
        <v>5</v>
      </c>
      <c r="D20" s="1">
        <f t="shared" si="0"/>
        <v>34</v>
      </c>
      <c r="E20" s="1">
        <v>1</v>
      </c>
      <c r="F20" s="5">
        <f t="shared" si="1"/>
        <v>2</v>
      </c>
      <c r="G20" s="1">
        <v>5</v>
      </c>
      <c r="H20" s="5">
        <f t="shared" si="3"/>
        <v>36</v>
      </c>
      <c r="I20" s="5">
        <f t="shared" si="2"/>
        <v>41</v>
      </c>
    </row>
    <row r="21" spans="1:11" x14ac:dyDescent="0.3">
      <c r="A21" s="1">
        <v>9</v>
      </c>
      <c r="B21" s="1" t="s">
        <v>15</v>
      </c>
      <c r="C21" s="1">
        <v>3</v>
      </c>
      <c r="D21" s="1">
        <f t="shared" si="0"/>
        <v>37</v>
      </c>
      <c r="E21" s="1">
        <v>1</v>
      </c>
      <c r="F21" s="5">
        <f t="shared" si="1"/>
        <v>4</v>
      </c>
      <c r="G21" s="1">
        <v>5</v>
      </c>
      <c r="H21" s="5">
        <f t="shared" si="3"/>
        <v>41</v>
      </c>
      <c r="I21" s="5">
        <f t="shared" si="2"/>
        <v>46</v>
      </c>
    </row>
    <row r="22" spans="1:11" x14ac:dyDescent="0.3">
      <c r="A22" s="1">
        <v>10</v>
      </c>
      <c r="B22" s="1" t="s">
        <v>16</v>
      </c>
      <c r="C22" s="1">
        <v>7</v>
      </c>
      <c r="D22" s="1">
        <f t="shared" si="0"/>
        <v>44</v>
      </c>
      <c r="E22" s="1">
        <v>1</v>
      </c>
      <c r="F22" s="5">
        <f t="shared" si="1"/>
        <v>2</v>
      </c>
      <c r="G22" s="1">
        <v>5</v>
      </c>
      <c r="H22" s="5">
        <f t="shared" si="3"/>
        <v>46</v>
      </c>
      <c r="I22" s="5">
        <f t="shared" si="2"/>
        <v>51</v>
      </c>
    </row>
    <row r="24" spans="1:11" x14ac:dyDescent="0.3">
      <c r="E24" s="4" t="s">
        <v>17</v>
      </c>
      <c r="F24" s="3">
        <f>+AVERAGE(F13:F22)</f>
        <v>3.2</v>
      </c>
    </row>
    <row r="26" spans="1:11" x14ac:dyDescent="0.3">
      <c r="A26" t="s">
        <v>20</v>
      </c>
    </row>
    <row r="28" spans="1:11" ht="18" x14ac:dyDescent="0.35">
      <c r="A28" s="8" t="s">
        <v>21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30" spans="1:11" x14ac:dyDescent="0.3">
      <c r="A30" s="1" t="s">
        <v>0</v>
      </c>
      <c r="B30" s="1" t="s">
        <v>1</v>
      </c>
      <c r="C30" s="2" t="s">
        <v>18</v>
      </c>
      <c r="D30" s="2" t="s">
        <v>2</v>
      </c>
      <c r="E30" s="2" t="s">
        <v>3</v>
      </c>
      <c r="F30" s="2" t="s">
        <v>4</v>
      </c>
      <c r="G30" s="2" t="s">
        <v>19</v>
      </c>
      <c r="H30" s="1" t="s">
        <v>1</v>
      </c>
      <c r="I30" s="1" t="s">
        <v>22</v>
      </c>
      <c r="J30" s="2" t="s">
        <v>5</v>
      </c>
      <c r="K30" s="2" t="s">
        <v>6</v>
      </c>
    </row>
    <row r="31" spans="1:11" x14ac:dyDescent="0.3">
      <c r="A31" s="1">
        <v>1</v>
      </c>
      <c r="B31" s="1" t="s">
        <v>7</v>
      </c>
      <c r="C31" s="1">
        <v>1</v>
      </c>
      <c r="D31" s="1">
        <v>1</v>
      </c>
      <c r="E31" s="1">
        <v>0</v>
      </c>
      <c r="F31" s="5">
        <f t="shared" ref="F31:F40" si="4">+J31-D31</f>
        <v>0</v>
      </c>
      <c r="G31" s="1">
        <v>5</v>
      </c>
      <c r="H31" s="1">
        <v>0.99</v>
      </c>
      <c r="I31" s="7">
        <f>+(1/(1/G31))*LN(1/H31)</f>
        <v>5.0251679267507531E-2</v>
      </c>
      <c r="J31" s="5">
        <v>1</v>
      </c>
      <c r="K31" s="7">
        <f>+J31+I31</f>
        <v>1.0502516792675076</v>
      </c>
    </row>
    <row r="32" spans="1:11" x14ac:dyDescent="0.3">
      <c r="A32" s="1">
        <v>2</v>
      </c>
      <c r="B32" s="1" t="s">
        <v>8</v>
      </c>
      <c r="C32" s="1">
        <v>1</v>
      </c>
      <c r="D32" s="1">
        <f>+C32+D31</f>
        <v>2</v>
      </c>
      <c r="E32" s="1">
        <v>0</v>
      </c>
      <c r="F32" s="5">
        <f t="shared" si="4"/>
        <v>0</v>
      </c>
      <c r="G32" s="1">
        <v>5</v>
      </c>
      <c r="H32" s="1">
        <v>0.04</v>
      </c>
      <c r="I32" s="7">
        <f t="shared" ref="I32:I40" si="5">+(1/(1/G32))*LN(1/H32)</f>
        <v>16.094379124341003</v>
      </c>
      <c r="J32" s="7">
        <f>+D32</f>
        <v>2</v>
      </c>
      <c r="K32" s="7">
        <f>+J32+I32</f>
        <v>18.094379124341003</v>
      </c>
    </row>
    <row r="33" spans="1:11" x14ac:dyDescent="0.3">
      <c r="A33" s="1">
        <v>3</v>
      </c>
      <c r="B33" s="1" t="s">
        <v>9</v>
      </c>
      <c r="C33" s="1">
        <v>3</v>
      </c>
      <c r="D33" s="1">
        <f>+C33+D32</f>
        <v>5</v>
      </c>
      <c r="E33" s="1">
        <v>1</v>
      </c>
      <c r="F33" s="5">
        <f t="shared" si="4"/>
        <v>13.094379124341003</v>
      </c>
      <c r="G33" s="1">
        <v>5</v>
      </c>
      <c r="H33" s="1">
        <v>0.3</v>
      </c>
      <c r="I33" s="7">
        <f t="shared" si="5"/>
        <v>6.0198640216296804</v>
      </c>
      <c r="J33" s="7">
        <f>+K32</f>
        <v>18.094379124341003</v>
      </c>
      <c r="K33" s="7">
        <f t="shared" ref="K33:K40" si="6">+J33+G33</f>
        <v>23.094379124341003</v>
      </c>
    </row>
    <row r="34" spans="1:11" x14ac:dyDescent="0.3">
      <c r="A34" s="1">
        <v>4</v>
      </c>
      <c r="B34" s="1" t="s">
        <v>10</v>
      </c>
      <c r="C34" s="1">
        <v>7</v>
      </c>
      <c r="D34" s="1">
        <f t="shared" ref="D34:D40" si="7">+C34+D33</f>
        <v>12</v>
      </c>
      <c r="E34" s="1">
        <v>2</v>
      </c>
      <c r="F34" s="5">
        <f t="shared" si="4"/>
        <v>11.094379124341003</v>
      </c>
      <c r="G34" s="1">
        <v>5</v>
      </c>
      <c r="H34" s="1">
        <v>0.05</v>
      </c>
      <c r="I34" s="7">
        <f t="shared" si="5"/>
        <v>14.978661367769954</v>
      </c>
      <c r="J34" s="7">
        <f>+K33</f>
        <v>23.094379124341003</v>
      </c>
      <c r="K34" s="7">
        <f t="shared" si="6"/>
        <v>28.094379124341003</v>
      </c>
    </row>
    <row r="35" spans="1:11" x14ac:dyDescent="0.3">
      <c r="A35" s="1">
        <v>5</v>
      </c>
      <c r="B35" s="1" t="s">
        <v>11</v>
      </c>
      <c r="C35" s="1">
        <v>5</v>
      </c>
      <c r="D35" s="1">
        <f t="shared" si="7"/>
        <v>17</v>
      </c>
      <c r="E35" s="1">
        <v>3</v>
      </c>
      <c r="F35" s="5">
        <f t="shared" si="4"/>
        <v>11.094379124341003</v>
      </c>
      <c r="G35" s="1">
        <v>5</v>
      </c>
      <c r="H35" s="1">
        <v>0.5</v>
      </c>
      <c r="I35" s="7">
        <f t="shared" si="5"/>
        <v>3.4657359027997265</v>
      </c>
      <c r="J35" s="7">
        <f t="shared" ref="J35:J40" si="8">+K34</f>
        <v>28.094379124341003</v>
      </c>
      <c r="K35" s="7">
        <f t="shared" si="6"/>
        <v>33.094379124341003</v>
      </c>
    </row>
    <row r="36" spans="1:11" x14ac:dyDescent="0.3">
      <c r="A36" s="1">
        <v>6</v>
      </c>
      <c r="B36" s="1" t="s">
        <v>12</v>
      </c>
      <c r="C36" s="1">
        <v>5</v>
      </c>
      <c r="D36" s="1">
        <f t="shared" si="7"/>
        <v>22</v>
      </c>
      <c r="E36" s="1">
        <v>3</v>
      </c>
      <c r="F36" s="5">
        <f t="shared" si="4"/>
        <v>11.094379124341003</v>
      </c>
      <c r="G36" s="1">
        <v>5</v>
      </c>
      <c r="H36" s="1">
        <v>0.67</v>
      </c>
      <c r="I36" s="7">
        <f t="shared" si="5"/>
        <v>2.0023878329856264</v>
      </c>
      <c r="J36" s="7">
        <f t="shared" si="8"/>
        <v>33.094379124341003</v>
      </c>
      <c r="K36" s="7">
        <f t="shared" si="6"/>
        <v>38.094379124341003</v>
      </c>
    </row>
    <row r="37" spans="1:11" x14ac:dyDescent="0.3">
      <c r="A37" s="1">
        <v>7</v>
      </c>
      <c r="B37" s="1" t="s">
        <v>13</v>
      </c>
      <c r="C37" s="1">
        <v>7</v>
      </c>
      <c r="D37" s="1">
        <f t="shared" si="7"/>
        <v>29</v>
      </c>
      <c r="E37" s="1">
        <v>2</v>
      </c>
      <c r="F37" s="5">
        <f t="shared" si="4"/>
        <v>9.0943791243410033</v>
      </c>
      <c r="G37" s="1">
        <v>5</v>
      </c>
      <c r="H37" s="1">
        <v>0.12</v>
      </c>
      <c r="I37" s="7">
        <f t="shared" si="5"/>
        <v>10.601317681000456</v>
      </c>
      <c r="J37" s="7">
        <f t="shared" si="8"/>
        <v>38.094379124341003</v>
      </c>
      <c r="K37" s="7">
        <f t="shared" si="6"/>
        <v>43.094379124341003</v>
      </c>
    </row>
    <row r="38" spans="1:11" x14ac:dyDescent="0.3">
      <c r="A38" s="1">
        <v>8</v>
      </c>
      <c r="B38" s="1" t="s">
        <v>14</v>
      </c>
      <c r="C38" s="1">
        <v>5</v>
      </c>
      <c r="D38" s="1">
        <f t="shared" si="7"/>
        <v>34</v>
      </c>
      <c r="E38" s="1">
        <v>2</v>
      </c>
      <c r="F38" s="5">
        <f t="shared" si="4"/>
        <v>9.0943791243410033</v>
      </c>
      <c r="G38" s="1">
        <v>5</v>
      </c>
      <c r="H38" s="1">
        <v>0.01</v>
      </c>
      <c r="I38" s="7">
        <f t="shared" si="5"/>
        <v>23.025850929940461</v>
      </c>
      <c r="J38" s="7">
        <f t="shared" si="8"/>
        <v>43.094379124341003</v>
      </c>
      <c r="K38" s="7">
        <f t="shared" si="6"/>
        <v>48.094379124341003</v>
      </c>
    </row>
    <row r="39" spans="1:11" x14ac:dyDescent="0.3">
      <c r="A39" s="1">
        <v>9</v>
      </c>
      <c r="B39" s="1" t="s">
        <v>15</v>
      </c>
      <c r="C39" s="1">
        <v>3</v>
      </c>
      <c r="D39" s="1">
        <f t="shared" si="7"/>
        <v>37</v>
      </c>
      <c r="E39" s="1">
        <v>3</v>
      </c>
      <c r="F39" s="5">
        <f t="shared" si="4"/>
        <v>11.094379124341003</v>
      </c>
      <c r="G39" s="1">
        <v>5</v>
      </c>
      <c r="H39" s="1">
        <v>0.15</v>
      </c>
      <c r="I39" s="7">
        <f t="shared" si="5"/>
        <v>9.4855999244294065</v>
      </c>
      <c r="J39" s="7">
        <f t="shared" si="8"/>
        <v>48.094379124341003</v>
      </c>
      <c r="K39" s="7">
        <f t="shared" si="6"/>
        <v>53.094379124341003</v>
      </c>
    </row>
    <row r="40" spans="1:11" x14ac:dyDescent="0.3">
      <c r="A40" s="1">
        <v>10</v>
      </c>
      <c r="B40" s="1" t="s">
        <v>16</v>
      </c>
      <c r="C40" s="1">
        <v>7</v>
      </c>
      <c r="D40" s="1">
        <f t="shared" si="7"/>
        <v>44</v>
      </c>
      <c r="E40" s="1">
        <v>2</v>
      </c>
      <c r="F40" s="5">
        <f t="shared" si="4"/>
        <v>9.0943791243410033</v>
      </c>
      <c r="G40" s="1">
        <v>5</v>
      </c>
      <c r="H40" s="1">
        <v>0.23</v>
      </c>
      <c r="I40" s="7">
        <f t="shared" si="5"/>
        <v>7.3483798502947089</v>
      </c>
      <c r="J40" s="7">
        <f t="shared" si="8"/>
        <v>53.094379124341003</v>
      </c>
      <c r="K40" s="7">
        <f t="shared" si="6"/>
        <v>58.094379124341003</v>
      </c>
    </row>
    <row r="42" spans="1:11" x14ac:dyDescent="0.3">
      <c r="E42" s="4" t="s">
        <v>17</v>
      </c>
      <c r="F42" s="3">
        <f>+AVERAGE(F31:F40)</f>
        <v>8.4755032994728019</v>
      </c>
    </row>
    <row r="45" spans="1:11" ht="18" x14ac:dyDescent="0.35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7" spans="1:11" x14ac:dyDescent="0.3">
      <c r="A47" s="1" t="s">
        <v>0</v>
      </c>
      <c r="B47" s="6" t="s">
        <v>24</v>
      </c>
      <c r="C47" s="1" t="s">
        <v>1</v>
      </c>
      <c r="D47" s="2" t="s">
        <v>25</v>
      </c>
      <c r="E47" s="2" t="s">
        <v>2</v>
      </c>
      <c r="F47" s="2" t="s">
        <v>3</v>
      </c>
      <c r="G47" s="2" t="s">
        <v>4</v>
      </c>
      <c r="H47" s="2" t="s">
        <v>19</v>
      </c>
      <c r="I47" s="2" t="s">
        <v>5</v>
      </c>
      <c r="J47" s="2" t="s">
        <v>6</v>
      </c>
    </row>
    <row r="48" spans="1:11" x14ac:dyDescent="0.3">
      <c r="A48" s="1">
        <v>1</v>
      </c>
      <c r="B48" s="1">
        <v>4</v>
      </c>
      <c r="C48" s="1" t="s">
        <v>7</v>
      </c>
      <c r="D48" s="1">
        <f>+(1/(1/B48))*LN(1/C48)</f>
        <v>14.026231589279927</v>
      </c>
      <c r="E48" s="1">
        <f>+D48</f>
        <v>14.026231589279927</v>
      </c>
      <c r="F48" s="1">
        <v>0</v>
      </c>
      <c r="G48" s="5">
        <f>+I48-E48</f>
        <v>0</v>
      </c>
      <c r="H48" s="1">
        <v>5</v>
      </c>
      <c r="I48" s="7">
        <f>+E48</f>
        <v>14.026231589279927</v>
      </c>
      <c r="J48" s="7">
        <f>+I48+H48</f>
        <v>19.026231589279927</v>
      </c>
    </row>
    <row r="49" spans="1:12" x14ac:dyDescent="0.3">
      <c r="A49" s="1">
        <v>2</v>
      </c>
      <c r="B49" s="1">
        <v>4</v>
      </c>
      <c r="C49" s="1" t="s">
        <v>8</v>
      </c>
      <c r="D49" s="1">
        <f t="shared" ref="D49:D57" si="9">+(1/(1/B49))*LN(1/C49)</f>
        <v>11.982929094215963</v>
      </c>
      <c r="E49" s="1">
        <f>+D49+E48</f>
        <v>26.009160683495892</v>
      </c>
      <c r="F49" s="1">
        <v>0</v>
      </c>
      <c r="G49" s="5">
        <f>+I49-E49</f>
        <v>0</v>
      </c>
      <c r="H49" s="1">
        <v>5</v>
      </c>
      <c r="I49" s="7">
        <f>+E49</f>
        <v>26.009160683495892</v>
      </c>
      <c r="J49" s="7">
        <f>+I49+H49</f>
        <v>31.009160683495892</v>
      </c>
    </row>
    <row r="50" spans="1:12" x14ac:dyDescent="0.3">
      <c r="A50" s="1">
        <v>3</v>
      </c>
      <c r="B50" s="1">
        <v>4</v>
      </c>
      <c r="C50" s="1" t="s">
        <v>9</v>
      </c>
      <c r="D50" s="1">
        <f t="shared" si="9"/>
        <v>8.481054144800364</v>
      </c>
      <c r="E50" s="1">
        <f>+D50+E49</f>
        <v>34.49021482829626</v>
      </c>
      <c r="F50" s="1">
        <v>0</v>
      </c>
      <c r="G50" s="5">
        <f>+I50-E50</f>
        <v>0</v>
      </c>
      <c r="H50" s="1">
        <v>5</v>
      </c>
      <c r="I50" s="7">
        <f>+E50</f>
        <v>34.49021482829626</v>
      </c>
      <c r="J50" s="7">
        <f>+I50+H50</f>
        <v>39.49021482829626</v>
      </c>
    </row>
    <row r="51" spans="1:12" x14ac:dyDescent="0.3">
      <c r="A51" s="1">
        <v>4</v>
      </c>
      <c r="B51" s="1">
        <v>4</v>
      </c>
      <c r="C51" s="1" t="s">
        <v>10</v>
      </c>
      <c r="D51" s="1">
        <f t="shared" si="9"/>
        <v>0.37724271788496483</v>
      </c>
      <c r="E51" s="1">
        <f t="shared" ref="E51:E57" si="10">+D51+E50</f>
        <v>34.867457546181228</v>
      </c>
      <c r="F51" s="1">
        <v>1</v>
      </c>
      <c r="G51" s="5">
        <f t="shared" ref="G51:G57" si="11">+I51-E51</f>
        <v>4.6227572821150318</v>
      </c>
      <c r="H51" s="1">
        <v>5</v>
      </c>
      <c r="I51" s="7">
        <f>+J50</f>
        <v>39.49021482829626</v>
      </c>
      <c r="J51" s="7">
        <f t="shared" ref="J51:J57" si="12">+I51+H51</f>
        <v>44.49021482829626</v>
      </c>
    </row>
    <row r="52" spans="1:12" x14ac:dyDescent="0.3">
      <c r="A52" s="1">
        <v>5</v>
      </c>
      <c r="B52" s="1">
        <v>4</v>
      </c>
      <c r="C52" s="1" t="s">
        <v>11</v>
      </c>
      <c r="D52" s="1">
        <f t="shared" si="9"/>
        <v>4.6847319260117812</v>
      </c>
      <c r="E52" s="1">
        <f t="shared" si="10"/>
        <v>39.552189472193007</v>
      </c>
      <c r="F52" s="1">
        <v>1</v>
      </c>
      <c r="G52" s="5">
        <f t="shared" si="11"/>
        <v>4.9380253561032532</v>
      </c>
      <c r="H52" s="1">
        <v>5</v>
      </c>
      <c r="I52" s="7">
        <f t="shared" ref="I52:I57" si="13">+J51</f>
        <v>44.49021482829626</v>
      </c>
      <c r="J52" s="7">
        <f t="shared" si="12"/>
        <v>49.49021482829626</v>
      </c>
    </row>
    <row r="53" spans="1:12" x14ac:dyDescent="0.3">
      <c r="A53" s="1">
        <v>6</v>
      </c>
      <c r="B53" s="1">
        <v>4</v>
      </c>
      <c r="C53" s="1" t="s">
        <v>12</v>
      </c>
      <c r="D53" s="1">
        <f t="shared" si="9"/>
        <v>4.8158912173037445</v>
      </c>
      <c r="E53" s="1">
        <f t="shared" si="10"/>
        <v>44.36808068949675</v>
      </c>
      <c r="F53" s="1">
        <v>2</v>
      </c>
      <c r="G53" s="5">
        <f t="shared" si="11"/>
        <v>5.1221341387995096</v>
      </c>
      <c r="H53" s="1">
        <v>5</v>
      </c>
      <c r="I53" s="7">
        <f t="shared" si="13"/>
        <v>49.49021482829626</v>
      </c>
      <c r="J53" s="7">
        <f t="shared" si="12"/>
        <v>54.49021482829626</v>
      </c>
    </row>
    <row r="54" spans="1:12" x14ac:dyDescent="0.3">
      <c r="A54" s="1">
        <v>7</v>
      </c>
      <c r="B54" s="1">
        <v>4</v>
      </c>
      <c r="C54" s="1" t="s">
        <v>13</v>
      </c>
      <c r="D54" s="1">
        <f t="shared" si="9"/>
        <v>1.4842547255633285</v>
      </c>
      <c r="E54" s="1">
        <f t="shared" si="10"/>
        <v>45.852335415060082</v>
      </c>
      <c r="F54" s="1">
        <v>1</v>
      </c>
      <c r="G54" s="5">
        <f t="shared" si="11"/>
        <v>8.6378794132361776</v>
      </c>
      <c r="H54" s="1">
        <v>5</v>
      </c>
      <c r="I54" s="7">
        <f t="shared" si="13"/>
        <v>54.49021482829626</v>
      </c>
      <c r="J54" s="7">
        <f t="shared" si="12"/>
        <v>59.49021482829626</v>
      </c>
    </row>
    <row r="55" spans="1:12" x14ac:dyDescent="0.3">
      <c r="A55" s="1">
        <v>8</v>
      </c>
      <c r="B55" s="1">
        <v>4</v>
      </c>
      <c r="C55" s="1" t="s">
        <v>14</v>
      </c>
      <c r="D55" s="1">
        <f t="shared" si="9"/>
        <v>6.2425909930586734</v>
      </c>
      <c r="E55" s="1">
        <f t="shared" si="10"/>
        <v>52.094926408118752</v>
      </c>
      <c r="F55" s="1">
        <v>2</v>
      </c>
      <c r="G55" s="5">
        <f t="shared" si="11"/>
        <v>7.3952884201775078</v>
      </c>
      <c r="H55" s="1">
        <v>5</v>
      </c>
      <c r="I55" s="7">
        <f t="shared" si="13"/>
        <v>59.49021482829626</v>
      </c>
      <c r="J55" s="7">
        <f t="shared" si="12"/>
        <v>64.49021482829626</v>
      </c>
    </row>
    <row r="56" spans="1:12" x14ac:dyDescent="0.3">
      <c r="A56" s="1">
        <v>9</v>
      </c>
      <c r="B56" s="1">
        <v>4</v>
      </c>
      <c r="C56" s="1" t="s">
        <v>15</v>
      </c>
      <c r="D56" s="1">
        <f t="shared" si="9"/>
        <v>11.253642867040146</v>
      </c>
      <c r="E56" s="1">
        <f t="shared" si="10"/>
        <v>63.348569275158894</v>
      </c>
      <c r="F56" s="1">
        <v>1</v>
      </c>
      <c r="G56" s="5">
        <f t="shared" si="11"/>
        <v>1.1416455531373657</v>
      </c>
      <c r="H56" s="1">
        <v>5</v>
      </c>
      <c r="I56" s="7">
        <f t="shared" si="13"/>
        <v>64.49021482829626</v>
      </c>
      <c r="J56" s="7">
        <f t="shared" si="12"/>
        <v>69.49021482829626</v>
      </c>
    </row>
    <row r="57" spans="1:12" x14ac:dyDescent="0.3">
      <c r="A57" s="1">
        <v>10</v>
      </c>
      <c r="B57" s="1">
        <v>4</v>
      </c>
      <c r="C57" s="1" t="s">
        <v>16</v>
      </c>
      <c r="D57" s="1">
        <f t="shared" si="9"/>
        <v>1.1507282898071234</v>
      </c>
      <c r="E57" s="1">
        <f t="shared" si="10"/>
        <v>64.499297564966014</v>
      </c>
      <c r="F57" s="1">
        <v>1</v>
      </c>
      <c r="G57" s="5">
        <f t="shared" si="11"/>
        <v>4.9909172633302461</v>
      </c>
      <c r="H57" s="1">
        <v>5</v>
      </c>
      <c r="I57" s="7">
        <f t="shared" si="13"/>
        <v>69.49021482829626</v>
      </c>
      <c r="J57" s="7">
        <f t="shared" si="12"/>
        <v>74.49021482829626</v>
      </c>
    </row>
    <row r="59" spans="1:12" x14ac:dyDescent="0.3">
      <c r="F59" s="4" t="s">
        <v>17</v>
      </c>
      <c r="G59" s="3">
        <f>+AVERAGE(G48:G57)</f>
        <v>3.6848647426899093</v>
      </c>
    </row>
    <row r="62" spans="1:12" ht="18" x14ac:dyDescent="0.35">
      <c r="A62" s="8" t="s">
        <v>26</v>
      </c>
      <c r="B62" s="8"/>
      <c r="C62" s="8"/>
      <c r="D62" s="8"/>
      <c r="E62" s="8"/>
      <c r="F62" s="8"/>
      <c r="G62" s="8"/>
      <c r="H62" s="8"/>
      <c r="I62" s="8"/>
      <c r="J62" s="8"/>
      <c r="K62" s="8"/>
    </row>
    <row r="64" spans="1:12" x14ac:dyDescent="0.3">
      <c r="A64" s="1" t="s">
        <v>0</v>
      </c>
      <c r="B64" s="6" t="s">
        <v>24</v>
      </c>
      <c r="C64" s="1" t="s">
        <v>1</v>
      </c>
      <c r="D64" s="2" t="s">
        <v>25</v>
      </c>
      <c r="E64" s="2" t="s">
        <v>2</v>
      </c>
      <c r="F64" s="2" t="s">
        <v>3</v>
      </c>
      <c r="G64" s="2" t="s">
        <v>4</v>
      </c>
      <c r="H64" s="2" t="s">
        <v>19</v>
      </c>
      <c r="I64" s="1" t="s">
        <v>1</v>
      </c>
      <c r="J64" s="1" t="s">
        <v>22</v>
      </c>
      <c r="K64" s="2" t="s">
        <v>5</v>
      </c>
      <c r="L64" s="2" t="s">
        <v>6</v>
      </c>
    </row>
    <row r="65" spans="1:12" x14ac:dyDescent="0.3">
      <c r="A65" s="1">
        <v>1</v>
      </c>
      <c r="B65" s="1">
        <v>4</v>
      </c>
      <c r="C65" s="1" t="s">
        <v>7</v>
      </c>
      <c r="D65" s="1">
        <f>+(1/(1/B65))*LN(1/C65)</f>
        <v>14.026231589279927</v>
      </c>
      <c r="E65" s="1">
        <f>+D65</f>
        <v>14.026231589279927</v>
      </c>
      <c r="F65" s="1">
        <v>0</v>
      </c>
      <c r="G65" s="5">
        <f t="shared" ref="G65:G74" si="14">+K65-E65</f>
        <v>0</v>
      </c>
      <c r="H65" s="1">
        <v>5</v>
      </c>
      <c r="I65" s="1">
        <v>0.99</v>
      </c>
      <c r="J65" s="7">
        <f>+(1/(1/H65))*LN(1/I65)</f>
        <v>5.0251679267507531E-2</v>
      </c>
      <c r="K65" s="7">
        <f>+E65</f>
        <v>14.026231589279927</v>
      </c>
      <c r="L65" s="7">
        <f>+K65+J65</f>
        <v>14.076483268547435</v>
      </c>
    </row>
    <row r="66" spans="1:12" x14ac:dyDescent="0.3">
      <c r="A66" s="1">
        <v>2</v>
      </c>
      <c r="B66" s="1">
        <v>4</v>
      </c>
      <c r="C66" s="1" t="s">
        <v>8</v>
      </c>
      <c r="D66" s="1">
        <f t="shared" ref="D66:D74" si="15">+(1/(1/B66))*LN(1/C66)</f>
        <v>11.982929094215963</v>
      </c>
      <c r="E66" s="1">
        <f>+D66+E65</f>
        <v>26.009160683495892</v>
      </c>
      <c r="F66" s="1">
        <v>0</v>
      </c>
      <c r="G66" s="5">
        <f t="shared" si="14"/>
        <v>0</v>
      </c>
      <c r="H66" s="1">
        <v>5</v>
      </c>
      <c r="I66" s="1">
        <v>0.04</v>
      </c>
      <c r="J66" s="7">
        <f t="shared" ref="J66:J74" si="16">+(1/(1/H66))*LN(1/I66)</f>
        <v>16.094379124341003</v>
      </c>
      <c r="K66" s="7">
        <f>+E66</f>
        <v>26.009160683495892</v>
      </c>
      <c r="L66" s="7">
        <f>+K66+J66</f>
        <v>42.103539807836896</v>
      </c>
    </row>
    <row r="67" spans="1:12" x14ac:dyDescent="0.3">
      <c r="A67" s="1">
        <v>3</v>
      </c>
      <c r="B67" s="1">
        <v>4</v>
      </c>
      <c r="C67" s="1" t="s">
        <v>9</v>
      </c>
      <c r="D67" s="1">
        <f t="shared" si="15"/>
        <v>8.481054144800364</v>
      </c>
      <c r="E67" s="1">
        <f>+D67+E66</f>
        <v>34.49021482829626</v>
      </c>
      <c r="F67" s="1">
        <v>1</v>
      </c>
      <c r="G67" s="5">
        <f t="shared" si="14"/>
        <v>7.6133249795406357</v>
      </c>
      <c r="H67" s="1">
        <v>5</v>
      </c>
      <c r="I67" s="1">
        <v>0.3</v>
      </c>
      <c r="J67" s="7">
        <f t="shared" si="16"/>
        <v>6.0198640216296804</v>
      </c>
      <c r="K67" s="7">
        <f>+L66</f>
        <v>42.103539807836896</v>
      </c>
      <c r="L67" s="7">
        <f>+K67+J67</f>
        <v>48.123403829466575</v>
      </c>
    </row>
    <row r="68" spans="1:12" x14ac:dyDescent="0.3">
      <c r="A68" s="1">
        <v>4</v>
      </c>
      <c r="B68" s="1">
        <v>4</v>
      </c>
      <c r="C68" s="1" t="s">
        <v>10</v>
      </c>
      <c r="D68" s="1">
        <f t="shared" si="15"/>
        <v>0.37724271788496483</v>
      </c>
      <c r="E68" s="1">
        <f t="shared" ref="E68:E74" si="17">+D68+E67</f>
        <v>34.867457546181228</v>
      </c>
      <c r="F68" s="1">
        <v>2</v>
      </c>
      <c r="G68" s="5">
        <f t="shared" si="14"/>
        <v>13.255946283285347</v>
      </c>
      <c r="H68" s="1">
        <v>5</v>
      </c>
      <c r="I68" s="1">
        <v>0.05</v>
      </c>
      <c r="J68" s="7">
        <f t="shared" si="16"/>
        <v>14.978661367769954</v>
      </c>
      <c r="K68" s="7">
        <f>+L67</f>
        <v>48.123403829466575</v>
      </c>
      <c r="L68" s="7">
        <f t="shared" ref="L68:L74" si="18">+K68+J68</f>
        <v>63.102065197236527</v>
      </c>
    </row>
    <row r="69" spans="1:12" x14ac:dyDescent="0.3">
      <c r="A69" s="1">
        <v>5</v>
      </c>
      <c r="B69" s="1">
        <v>4</v>
      </c>
      <c r="C69" s="1" t="s">
        <v>11</v>
      </c>
      <c r="D69" s="1">
        <f t="shared" si="15"/>
        <v>4.6847319260117812</v>
      </c>
      <c r="E69" s="1">
        <f t="shared" si="17"/>
        <v>39.552189472193007</v>
      </c>
      <c r="F69" s="1">
        <v>3</v>
      </c>
      <c r="G69" s="5">
        <f t="shared" si="14"/>
        <v>23.54987572504352</v>
      </c>
      <c r="H69" s="1">
        <v>5</v>
      </c>
      <c r="I69" s="1">
        <v>0.5</v>
      </c>
      <c r="J69" s="7">
        <f t="shared" si="16"/>
        <v>3.4657359027997265</v>
      </c>
      <c r="K69" s="7">
        <f t="shared" ref="K69:K74" si="19">+L68</f>
        <v>63.102065197236527</v>
      </c>
      <c r="L69" s="7">
        <f t="shared" si="18"/>
        <v>66.567801100036249</v>
      </c>
    </row>
    <row r="70" spans="1:12" x14ac:dyDescent="0.3">
      <c r="A70" s="1">
        <v>6</v>
      </c>
      <c r="B70" s="1">
        <v>4</v>
      </c>
      <c r="C70" s="1" t="s">
        <v>12</v>
      </c>
      <c r="D70" s="1">
        <f t="shared" si="15"/>
        <v>4.8158912173037445</v>
      </c>
      <c r="E70" s="1">
        <f t="shared" si="17"/>
        <v>44.36808068949675</v>
      </c>
      <c r="F70" s="1">
        <v>3</v>
      </c>
      <c r="G70" s="5">
        <f t="shared" si="14"/>
        <v>22.199720410539499</v>
      </c>
      <c r="H70" s="1">
        <v>5</v>
      </c>
      <c r="I70" s="1">
        <v>0.67</v>
      </c>
      <c r="J70" s="7">
        <f t="shared" si="16"/>
        <v>2.0023878329856264</v>
      </c>
      <c r="K70" s="7">
        <f t="shared" si="19"/>
        <v>66.567801100036249</v>
      </c>
      <c r="L70" s="7">
        <f t="shared" si="18"/>
        <v>68.570188933021882</v>
      </c>
    </row>
    <row r="71" spans="1:12" x14ac:dyDescent="0.3">
      <c r="A71" s="1">
        <v>7</v>
      </c>
      <c r="B71" s="1">
        <v>4</v>
      </c>
      <c r="C71" s="1" t="s">
        <v>13</v>
      </c>
      <c r="D71" s="1">
        <f t="shared" si="15"/>
        <v>1.4842547255633285</v>
      </c>
      <c r="E71" s="1">
        <f t="shared" si="17"/>
        <v>45.852335415060082</v>
      </c>
      <c r="F71" s="1">
        <v>4</v>
      </c>
      <c r="G71" s="5">
        <f t="shared" si="14"/>
        <v>22.7178535179618</v>
      </c>
      <c r="H71" s="1">
        <v>5</v>
      </c>
      <c r="I71" s="1">
        <v>0.12</v>
      </c>
      <c r="J71" s="7">
        <f t="shared" si="16"/>
        <v>10.601317681000456</v>
      </c>
      <c r="K71" s="7">
        <f t="shared" si="19"/>
        <v>68.570188933021882</v>
      </c>
      <c r="L71" s="7">
        <f t="shared" si="18"/>
        <v>79.171506614022334</v>
      </c>
    </row>
    <row r="72" spans="1:12" x14ac:dyDescent="0.3">
      <c r="A72" s="1">
        <v>8</v>
      </c>
      <c r="B72" s="1">
        <v>4</v>
      </c>
      <c r="C72" s="1" t="s">
        <v>14</v>
      </c>
      <c r="D72" s="1">
        <f t="shared" si="15"/>
        <v>6.2425909930586734</v>
      </c>
      <c r="E72" s="1">
        <f t="shared" si="17"/>
        <v>52.094926408118752</v>
      </c>
      <c r="F72" s="1">
        <v>4</v>
      </c>
      <c r="G72" s="5">
        <f t="shared" si="14"/>
        <v>27.076580205903582</v>
      </c>
      <c r="H72" s="1">
        <v>5</v>
      </c>
      <c r="I72" s="1">
        <v>0.01</v>
      </c>
      <c r="J72" s="7">
        <f t="shared" si="16"/>
        <v>23.025850929940461</v>
      </c>
      <c r="K72" s="7">
        <f t="shared" si="19"/>
        <v>79.171506614022334</v>
      </c>
      <c r="L72" s="7">
        <f t="shared" si="18"/>
        <v>102.1973575439628</v>
      </c>
    </row>
    <row r="73" spans="1:12" x14ac:dyDescent="0.3">
      <c r="A73" s="1">
        <v>9</v>
      </c>
      <c r="B73" s="1">
        <v>4</v>
      </c>
      <c r="C73" s="1" t="s">
        <v>15</v>
      </c>
      <c r="D73" s="1">
        <f t="shared" si="15"/>
        <v>11.253642867040146</v>
      </c>
      <c r="E73" s="1">
        <f t="shared" si="17"/>
        <v>63.348569275158894</v>
      </c>
      <c r="F73" s="1">
        <v>4</v>
      </c>
      <c r="G73" s="5">
        <f t="shared" si="14"/>
        <v>38.848788268803901</v>
      </c>
      <c r="H73" s="1">
        <v>5</v>
      </c>
      <c r="I73" s="1">
        <v>0.15</v>
      </c>
      <c r="J73" s="7">
        <f t="shared" si="16"/>
        <v>9.4855999244294065</v>
      </c>
      <c r="K73" s="7">
        <f t="shared" si="19"/>
        <v>102.1973575439628</v>
      </c>
      <c r="L73" s="7">
        <f t="shared" si="18"/>
        <v>111.6829574683922</v>
      </c>
    </row>
    <row r="74" spans="1:12" x14ac:dyDescent="0.3">
      <c r="A74" s="1">
        <v>10</v>
      </c>
      <c r="B74" s="1">
        <v>4</v>
      </c>
      <c r="C74" s="1" t="s">
        <v>16</v>
      </c>
      <c r="D74" s="1">
        <f t="shared" si="15"/>
        <v>1.1507282898071234</v>
      </c>
      <c r="E74" s="1">
        <f t="shared" si="17"/>
        <v>64.499297564966014</v>
      </c>
      <c r="F74" s="1">
        <v>5</v>
      </c>
      <c r="G74" s="5">
        <f t="shared" si="14"/>
        <v>47.183659903426189</v>
      </c>
      <c r="H74" s="1">
        <v>5</v>
      </c>
      <c r="I74" s="1">
        <v>0.23</v>
      </c>
      <c r="J74" s="7">
        <f t="shared" si="16"/>
        <v>7.3483798502947089</v>
      </c>
      <c r="K74" s="7">
        <f t="shared" si="19"/>
        <v>111.6829574683922</v>
      </c>
      <c r="L74" s="7">
        <f t="shared" si="18"/>
        <v>119.03133731868691</v>
      </c>
    </row>
    <row r="76" spans="1:12" x14ac:dyDescent="0.3">
      <c r="F76" s="4" t="s">
        <v>17</v>
      </c>
      <c r="G76" s="3">
        <f>+AVERAGE(G65:G74)</f>
        <v>20.244574929450447</v>
      </c>
    </row>
  </sheetData>
  <mergeCells count="3">
    <mergeCell ref="A28:K28"/>
    <mergeCell ref="A45:K45"/>
    <mergeCell ref="A62:K62"/>
  </mergeCells>
  <pageMargins left="0.7" right="0.7" top="0.75" bottom="0.75" header="0.3" footer="0.3"/>
  <pageSetup paperSize="9" orientation="portrait" horizontalDpi="200" verticalDpi="200" r:id="rId1"/>
  <headerFooter>
    <oddHeader>&amp;R&amp;"Calibri"&amp;10&amp;K000000 Documento: Personal&amp;1#_x000D_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2025-06-07T20:57:55Z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2024-05-05T22:17:54Z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5ef6de8f-cd20-4880-9cf1-95026f5e32c8</vt:lpwstr>
  </property>
  <property fmtid="{D5CDD505-2E9C-101B-9397-08002B2CF9AE}" pid="8" name="MSIP_Label_228ef38c-4357-49c8-b2ae-c9cdaf411188_ContentBits">
    <vt:lpwstr>1</vt:lpwstr>
  </property>
</Properties>
</file>