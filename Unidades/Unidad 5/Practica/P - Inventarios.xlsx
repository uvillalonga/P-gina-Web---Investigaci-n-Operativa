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drawings/drawing3.xml" ContentType="application/vnd.openxmlformats-officedocument.drawing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a161ea31542415b/UTN/4to Año/Invest Op/Unidad 5/Practica/"/>
    </mc:Choice>
  </mc:AlternateContent>
  <xr:revisionPtr revIDLastSave="219" documentId="13_ncr:1_{35B3DD5E-970F-4E8E-8B7F-6B262A859585}" xr6:coauthVersionLast="47" xr6:coauthVersionMax="47" xr10:uidLastSave="{B6A63A4B-188D-420D-89E2-1CD71BA40A81}"/>
  <bookViews>
    <workbookView xWindow="-108" yWindow="-108" windowWidth="23256" windowHeight="12456" activeTab="2" xr2:uid="{00000000-000D-0000-FFFF-FFFF00000000}"/>
  </bookViews>
  <sheets>
    <sheet name="EOQ" sheetId="1" r:id="rId1"/>
    <sheet name="Precio" sheetId="2" r:id="rId2"/>
    <sheet name="Volum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3" l="1"/>
  <c r="D30" i="3"/>
  <c r="E30" i="3" s="1"/>
  <c r="C29" i="3"/>
  <c r="D29" i="3"/>
  <c r="C28" i="3"/>
  <c r="E28" i="3" s="1"/>
  <c r="D28" i="3"/>
  <c r="E21" i="3"/>
  <c r="C19" i="3"/>
  <c r="E19" i="3" s="1"/>
  <c r="F13" i="3"/>
  <c r="F10" i="3"/>
  <c r="G10" i="3"/>
  <c r="H6" i="3"/>
  <c r="I6" i="3"/>
  <c r="C20" i="3"/>
  <c r="E20" i="3" s="1"/>
  <c r="D24" i="2"/>
  <c r="B24" i="2"/>
  <c r="B26" i="2"/>
  <c r="B25" i="2"/>
  <c r="B23" i="2"/>
  <c r="D23" i="2"/>
  <c r="A5" i="2"/>
  <c r="G26" i="2"/>
  <c r="G23" i="2"/>
  <c r="G24" i="2"/>
  <c r="G25" i="2"/>
  <c r="A4" i="2"/>
  <c r="C17" i="2"/>
  <c r="F24" i="2"/>
  <c r="F23" i="2"/>
  <c r="G17" i="1"/>
  <c r="F17" i="1"/>
  <c r="E17" i="1"/>
  <c r="C19" i="1"/>
  <c r="F14" i="1"/>
  <c r="D27" i="3"/>
  <c r="C27" i="3"/>
  <c r="E27" i="3" s="1"/>
  <c r="D26" i="3"/>
  <c r="C26" i="3"/>
  <c r="D25" i="3"/>
  <c r="C25" i="3"/>
  <c r="E25" i="3" s="1"/>
  <c r="D24" i="3"/>
  <c r="C24" i="3"/>
  <c r="E24" i="3" s="1"/>
  <c r="D23" i="3"/>
  <c r="C23" i="3"/>
  <c r="E23" i="3" s="1"/>
  <c r="D22" i="3"/>
  <c r="C22" i="3"/>
  <c r="E22" i="3" s="1"/>
  <c r="D21" i="3"/>
  <c r="C21" i="3"/>
  <c r="D20" i="3"/>
  <c r="D19" i="3"/>
  <c r="F25" i="2"/>
  <c r="F26" i="2"/>
  <c r="A7" i="2"/>
  <c r="A6" i="2"/>
  <c r="D25" i="2" s="1"/>
  <c r="D26" i="2"/>
  <c r="E29" i="3" l="1"/>
  <c r="F19" i="1"/>
  <c r="D21" i="1"/>
  <c r="B21" i="1"/>
  <c r="E26" i="3"/>
</calcChain>
</file>

<file path=xl/sharedStrings.xml><?xml version="1.0" encoding="utf-8"?>
<sst xmlns="http://schemas.openxmlformats.org/spreadsheetml/2006/main" count="46" uniqueCount="41">
  <si>
    <t>Para un horizonte de 400 días calcular el lote óptimo que deberá solicitar una empresa y su costo asociado en períodos uniformes para abastecerse de una demanda de 10.000 unidades. Sabiendo que:
Calm = 0,1 $/día
b = 1 $/u
k = 1000 $/orden</t>
  </si>
  <si>
    <t>k</t>
  </si>
  <si>
    <t>D</t>
  </si>
  <si>
    <t>c1</t>
  </si>
  <si>
    <t>T</t>
  </si>
  <si>
    <t>Qo</t>
  </si>
  <si>
    <t>b</t>
  </si>
  <si>
    <t>n</t>
  </si>
  <si>
    <t>C.adq.</t>
  </si>
  <si>
    <t>C.reord.</t>
  </si>
  <si>
    <t>C.alm.</t>
  </si>
  <si>
    <t>CTE</t>
  </si>
  <si>
    <t>c11</t>
  </si>
  <si>
    <t>c12</t>
  </si>
  <si>
    <t>c13</t>
  </si>
  <si>
    <t>c14</t>
  </si>
  <si>
    <t>bi</t>
  </si>
  <si>
    <t>Q min</t>
  </si>
  <si>
    <t>c'1</t>
  </si>
  <si>
    <t>Supongamos λ=0</t>
  </si>
  <si>
    <t>QA</t>
  </si>
  <si>
    <t>QB</t>
  </si>
  <si>
    <t>λ</t>
  </si>
  <si>
    <t>S.total</t>
  </si>
  <si>
    <t>C.Cap.inm</t>
  </si>
  <si>
    <t>C1'a</t>
  </si>
  <si>
    <t>C1'b</t>
  </si>
  <si>
    <t>Supongamos superficie disponible = 2000 m2</t>
  </si>
  <si>
    <t>Fijarme siempre las unidades antes de arrancar con los calculos</t>
  </si>
  <si>
    <t>C.reord = C.alm pq los iguales para encontrar el lote optimo</t>
  </si>
  <si>
    <t>El costo fijo es el de reorden</t>
  </si>
  <si>
    <t>El costo de adquisicion es el 'b'</t>
  </si>
  <si>
    <t>Es el costo de oportunidad por tener almacenado el capital</t>
  </si>
  <si>
    <t xml:space="preserve"> </t>
  </si>
  <si>
    <t>[$ / (mes * tn) * mes]</t>
  </si>
  <si>
    <t>costo de mantenimiento del inventario</t>
  </si>
  <si>
    <t>Me quedo con el Qmin si el Qopt no cumple con el rango</t>
  </si>
  <si>
    <t xml:space="preserve">Cpsto de la O/C = K  -&gt; Costo de reorden </t>
  </si>
  <si>
    <t>T = 1 mes ( pq estamos jugando con meses)</t>
  </si>
  <si>
    <t>(2 * $ * u/mes) / ( $/u * 1 mes)</t>
  </si>
  <si>
    <t>Esta es la combinacion mas optima a la hora de distribuir la superficie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</si>
</sst>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left" vertical="center" readingOrder="1"/>
    </xf>
    <xf numFmtId="0" fontId="3" fillId="0" borderId="1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/>
    </xf>
    <xf numFmtId="44" fontId="0" fillId="0" borderId="1" xfId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44" fontId="0" fillId="0" borderId="1" xfId="1" applyFont="1" applyBorder="1" applyAlignment="1">
      <alignment horizontal="center" vertical="center"/>
    </xf>
    <xf numFmtId="44" fontId="0" fillId="3" borderId="1" xfId="1" applyFont="1" applyFill="1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165" fontId="0" fillId="0" borderId="2" xfId="0" applyNumberFormat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1" xfId="0" applyFill="1" applyBorder="1" applyAlignment="1">
      <alignment horizontal="center"/>
    </xf>
    <xf numFmtId="0" fontId="0" fillId="4" borderId="0" xfId="0" applyFill="1"/>
    <xf numFmtId="0" fontId="1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1.xml"/><Relationship Id="rId3" Type="http://schemas.openxmlformats.org/officeDocument/2006/relationships/image" Target="../media/image5.png"/><Relationship Id="rId7" Type="http://schemas.openxmlformats.org/officeDocument/2006/relationships/image" Target="../media/image7.png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6" Type="http://schemas.microsoft.com/office/2007/relationships/hdphoto" Target="../media/hdphoto2.wdp"/><Relationship Id="rId11" Type="http://schemas.openxmlformats.org/officeDocument/2006/relationships/image" Target="../media/image9.png"/><Relationship Id="rId5" Type="http://schemas.openxmlformats.org/officeDocument/2006/relationships/image" Target="../media/image6.png"/><Relationship Id="rId10" Type="http://schemas.openxmlformats.org/officeDocument/2006/relationships/customXml" Target="../ink/ink2.xml"/><Relationship Id="rId4" Type="http://schemas.microsoft.com/office/2007/relationships/hdphoto" Target="../media/hdphoto1.wdp"/><Relationship Id="rId9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ustomXml" Target="../ink/ink7.xml"/><Relationship Id="rId18" Type="http://schemas.openxmlformats.org/officeDocument/2006/relationships/image" Target="../media/image19.png"/><Relationship Id="rId26" Type="http://schemas.openxmlformats.org/officeDocument/2006/relationships/image" Target="../media/image23.png"/><Relationship Id="rId21" Type="http://schemas.openxmlformats.org/officeDocument/2006/relationships/customXml" Target="../ink/ink11.xml"/><Relationship Id="rId34" Type="http://schemas.openxmlformats.org/officeDocument/2006/relationships/image" Target="../media/image27.png"/><Relationship Id="rId7" Type="http://schemas.openxmlformats.org/officeDocument/2006/relationships/customXml" Target="../ink/ink4.xml"/><Relationship Id="rId12" Type="http://schemas.openxmlformats.org/officeDocument/2006/relationships/image" Target="../media/image1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38" Type="http://schemas.openxmlformats.org/officeDocument/2006/relationships/image" Target="../media/image29.png"/><Relationship Id="rId2" Type="http://schemas.openxmlformats.org/officeDocument/2006/relationships/image" Target="../media/image10.png"/><Relationship Id="rId16" Type="http://schemas.openxmlformats.org/officeDocument/2006/relationships/image" Target="../media/image18.png"/><Relationship Id="rId20" Type="http://schemas.openxmlformats.org/officeDocument/2006/relationships/image" Target="../media/image20.png"/><Relationship Id="rId29" Type="http://schemas.openxmlformats.org/officeDocument/2006/relationships/customXml" Target="../ink/ink15.xml"/><Relationship Id="rId1" Type="http://schemas.openxmlformats.org/officeDocument/2006/relationships/image" Target="../media/image8.emf"/><Relationship Id="rId6" Type="http://schemas.openxmlformats.org/officeDocument/2006/relationships/image" Target="../media/image13.png"/><Relationship Id="rId11" Type="http://schemas.openxmlformats.org/officeDocument/2006/relationships/customXml" Target="../ink/ink6.xml"/><Relationship Id="rId24" Type="http://schemas.openxmlformats.org/officeDocument/2006/relationships/image" Target="../media/image22.png"/><Relationship Id="rId32" Type="http://schemas.openxmlformats.org/officeDocument/2006/relationships/image" Target="../media/image26.png"/><Relationship Id="rId37" Type="http://schemas.openxmlformats.org/officeDocument/2006/relationships/customXml" Target="../ink/ink19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24.png"/><Relationship Id="rId36" Type="http://schemas.openxmlformats.org/officeDocument/2006/relationships/image" Target="../media/image28.png"/><Relationship Id="rId10" Type="http://schemas.openxmlformats.org/officeDocument/2006/relationships/image" Target="../media/image15.png"/><Relationship Id="rId19" Type="http://schemas.openxmlformats.org/officeDocument/2006/relationships/customXml" Target="../ink/ink10.xml"/><Relationship Id="rId31" Type="http://schemas.openxmlformats.org/officeDocument/2006/relationships/customXml" Target="../ink/ink16.xml"/><Relationship Id="rId4" Type="http://schemas.openxmlformats.org/officeDocument/2006/relationships/image" Target="../media/image12.png"/><Relationship Id="rId9" Type="http://schemas.openxmlformats.org/officeDocument/2006/relationships/customXml" Target="../ink/ink5.xml"/><Relationship Id="rId14" Type="http://schemas.openxmlformats.org/officeDocument/2006/relationships/image" Target="../media/image17.png"/><Relationship Id="rId22" Type="http://schemas.openxmlformats.org/officeDocument/2006/relationships/image" Target="../media/image21.png"/><Relationship Id="rId27" Type="http://schemas.openxmlformats.org/officeDocument/2006/relationships/customXml" Target="../ink/ink14.xml"/><Relationship Id="rId30" Type="http://schemas.openxmlformats.org/officeDocument/2006/relationships/image" Target="../media/image25.png"/><Relationship Id="rId35" Type="http://schemas.openxmlformats.org/officeDocument/2006/relationships/customXml" Target="../ink/ink18.xml"/><Relationship Id="rId8" Type="http://schemas.openxmlformats.org/officeDocument/2006/relationships/image" Target="../media/image14.png"/><Relationship Id="rId3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350520</xdr:colOff>
      <xdr:row>4</xdr:row>
      <xdr:rowOff>180855</xdr:rowOff>
    </xdr:from>
    <xdr:to>
      <xdr:col>7</xdr:col>
      <xdr:colOff>373380</xdr:colOff>
      <xdr:row>8</xdr:row>
      <xdr:rowOff>80155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24B3A4B-3A57-1725-548B-ECEDB773A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880" y="912375"/>
          <a:ext cx="2491740" cy="630820"/>
        </a:xfrm>
        <a:prstGeom prst="rect">
          <a:avLst/>
        </a:prstGeom>
      </xdr:spPr>
    </xdr:pic>
    <xdr:clientData/>
  </xdr:twoCellAnchor>
  <xdr:twoCellAnchor editAs="oneCell">
    <xdr:from>
      <xdr:col>2</xdr:col>
      <xdr:colOff>160020</xdr:colOff>
      <xdr:row>4</xdr:row>
      <xdr:rowOff>174697</xdr:rowOff>
    </xdr:from>
    <xdr:to>
      <xdr:col>3</xdr:col>
      <xdr:colOff>586740</xdr:colOff>
      <xdr:row>8</xdr:row>
      <xdr:rowOff>68298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9561C11-072B-0B7E-8F41-6B0CE7F84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9700" y="906217"/>
          <a:ext cx="1051560" cy="6251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21981</xdr:rowOff>
    </xdr:from>
    <xdr:to>
      <xdr:col>9</xdr:col>
      <xdr:colOff>628236</xdr:colOff>
      <xdr:row>15</xdr:row>
      <xdr:rowOff>19277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14EDB-734A-EBD1-5DF0-078A589F5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14545" y="206201"/>
          <a:ext cx="7257845" cy="257637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0</xdr:col>
      <xdr:colOff>514349</xdr:colOff>
      <xdr:row>20</xdr:row>
      <xdr:rowOff>76201</xdr:rowOff>
    </xdr:from>
    <xdr:to>
      <xdr:col>1</xdr:col>
      <xdr:colOff>704850</xdr:colOff>
      <xdr:row>21</xdr:row>
      <xdr:rowOff>133351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F60A9F0C-AAFA-C261-4223-7B88303352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16423" r="47874" b="76931"/>
        <a:stretch/>
      </xdr:blipFill>
      <xdr:spPr bwMode="auto">
        <a:xfrm>
          <a:off x="514349" y="3314701"/>
          <a:ext cx="952501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3</xdr:col>
      <xdr:colOff>22861</xdr:colOff>
      <xdr:row>17</xdr:row>
      <xdr:rowOff>167640</xdr:rowOff>
    </xdr:from>
    <xdr:to>
      <xdr:col>3</xdr:col>
      <xdr:colOff>727711</xdr:colOff>
      <xdr:row>20</xdr:row>
      <xdr:rowOff>134567</xdr:rowOff>
    </xdr:to>
    <xdr:pic>
      <xdr:nvPicPr>
        <xdr:cNvPr id="4" name="Picture 14">
          <a:extLst>
            <a:ext uri="{FF2B5EF4-FFF2-40B4-BE49-F238E27FC236}">
              <a16:creationId xmlns:a16="http://schemas.microsoft.com/office/drawing/2014/main" id="{45626FF6-4F60-48CE-A9A2-F43C44043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  <a14:imgEffect>
                    <a14:brightnessContrast bright="-40000" contrast="-4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2400301" y="3276600"/>
          <a:ext cx="704850" cy="51556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219075</xdr:colOff>
      <xdr:row>18</xdr:row>
      <xdr:rowOff>60114</xdr:rowOff>
    </xdr:from>
    <xdr:to>
      <xdr:col>7</xdr:col>
      <xdr:colOff>388620</xdr:colOff>
      <xdr:row>20</xdr:row>
      <xdr:rowOff>120144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FC0FB75A-0A0C-40D6-99F1-827241960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-50000"/>
                  </a14:imgEffect>
                  <a14:imgEffect>
                    <a14:brightnessContrast bright="-40000" contrast="-4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4181475" y="3351954"/>
          <a:ext cx="2044065" cy="42579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225250</xdr:colOff>
      <xdr:row>21</xdr:row>
      <xdr:rowOff>115055</xdr:rowOff>
    </xdr:from>
    <xdr:to>
      <xdr:col>10</xdr:col>
      <xdr:colOff>660679</xdr:colOff>
      <xdr:row>27</xdr:row>
      <xdr:rowOff>126319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6B616FF-BD91-35CC-7BC7-A2D37F973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62170" y="3955535"/>
          <a:ext cx="2812869" cy="1108544"/>
        </a:xfrm>
        <a:prstGeom prst="rect">
          <a:avLst/>
        </a:prstGeom>
      </xdr:spPr>
    </xdr:pic>
    <xdr:clientData/>
  </xdr:twoCellAnchor>
  <xdr:twoCellAnchor editAs="oneCell">
    <xdr:from>
      <xdr:col>4</xdr:col>
      <xdr:colOff>160983</xdr:colOff>
      <xdr:row>22</xdr:row>
      <xdr:rowOff>17923</xdr:rowOff>
    </xdr:from>
    <xdr:to>
      <xdr:col>4</xdr:col>
      <xdr:colOff>675768</xdr:colOff>
      <xdr:row>26</xdr:row>
      <xdr:rowOff>7621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Entrada de lápiz 7">
              <a:extLst>
                <a:ext uri="{FF2B5EF4-FFF2-40B4-BE49-F238E27FC236}">
                  <a16:creationId xmlns:a16="http://schemas.microsoft.com/office/drawing/2014/main" id="{89B0F9C9-8F95-922B-94EC-DEE1D18FCEAE}"/>
                </a:ext>
              </a:extLst>
            </xdr14:cNvPr>
            <xdr14:cNvContentPartPr/>
          </xdr14:nvContentPartPr>
          <xdr14:nvPr macro=""/>
          <xdr14:xfrm>
            <a:off x="3330903" y="4041283"/>
            <a:ext cx="514785" cy="721218"/>
          </xdr14:xfrm>
        </xdr:contentPart>
      </mc:Choice>
      <mc:Fallback xmlns="">
        <xdr:pic>
          <xdr:nvPicPr>
            <xdr:cNvPr id="8" name="Entrada de lápiz 7">
              <a:extLst>
                <a:ext uri="{FF2B5EF4-FFF2-40B4-BE49-F238E27FC236}">
                  <a16:creationId xmlns:a16="http://schemas.microsoft.com/office/drawing/2014/main" id="{89B0F9C9-8F95-922B-94EC-DEE1D18FCEA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324783" y="4035207"/>
              <a:ext cx="527025" cy="7333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83760</xdr:colOff>
      <xdr:row>27</xdr:row>
      <xdr:rowOff>19620</xdr:rowOff>
    </xdr:from>
    <xdr:to>
      <xdr:col>7</xdr:col>
      <xdr:colOff>145860</xdr:colOff>
      <xdr:row>27</xdr:row>
      <xdr:rowOff>86220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0" name="Entrada de lápiz 9">
              <a:extLst>
                <a:ext uri="{FF2B5EF4-FFF2-40B4-BE49-F238E27FC236}">
                  <a16:creationId xmlns:a16="http://schemas.microsoft.com/office/drawing/2014/main" id="{316E520E-3FAF-4FB6-C1E1-5A42EDA9A9DF}"/>
                </a:ext>
              </a:extLst>
            </xdr14:cNvPr>
            <xdr14:cNvContentPartPr/>
          </xdr14:nvContentPartPr>
          <xdr14:nvPr macro=""/>
          <xdr14:xfrm>
            <a:off x="4983420" y="4957380"/>
            <a:ext cx="999360" cy="66600"/>
          </xdr14:xfrm>
        </xdr:contentPart>
      </mc:Choice>
      <mc:Fallback xmlns="">
        <xdr:pic>
          <xdr:nvPicPr>
            <xdr:cNvPr id="10" name="Entrada de lápiz 9">
              <a:extLst>
                <a:ext uri="{FF2B5EF4-FFF2-40B4-BE49-F238E27FC236}">
                  <a16:creationId xmlns:a16="http://schemas.microsoft.com/office/drawing/2014/main" id="{316E520E-3FAF-4FB6-C1E1-5A42EDA9A9D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976940" y="4951260"/>
              <a:ext cx="1011600" cy="78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539613</xdr:colOff>
      <xdr:row>6</xdr:row>
      <xdr:rowOff>139738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EC704B2-7DC9-3DC9-B9C7-F151F2F57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5272978" cy="121550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2</xdr:col>
      <xdr:colOff>638175</xdr:colOff>
      <xdr:row>8</xdr:row>
      <xdr:rowOff>104775</xdr:rowOff>
    </xdr:from>
    <xdr:to>
      <xdr:col>3</xdr:col>
      <xdr:colOff>581025</xdr:colOff>
      <xdr:row>11</xdr:row>
      <xdr:rowOff>62177</xdr:rowOff>
    </xdr:to>
    <xdr:pic>
      <xdr:nvPicPr>
        <xdr:cNvPr id="5" name="Picture 14">
          <a:extLst>
            <a:ext uri="{FF2B5EF4-FFF2-40B4-BE49-F238E27FC236}">
              <a16:creationId xmlns:a16="http://schemas.microsoft.com/office/drawing/2014/main" id="{46462D0E-058F-42F6-B983-E0965C0A8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162175" y="1628775"/>
          <a:ext cx="704850" cy="53842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371475</xdr:colOff>
      <xdr:row>10</xdr:row>
      <xdr:rowOff>142875</xdr:rowOff>
    </xdr:from>
    <xdr:to>
      <xdr:col>7</xdr:col>
      <xdr:colOff>447675</xdr:colOff>
      <xdr:row>11</xdr:row>
      <xdr:rowOff>152401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FDD42EAB-B08D-404A-D80F-59CF9ACB64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6235" t="2440" r="26616" b="46341"/>
        <a:stretch/>
      </xdr:blipFill>
      <xdr:spPr bwMode="auto">
        <a:xfrm>
          <a:off x="3419475" y="2057400"/>
          <a:ext cx="2362200" cy="200026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4</xdr:col>
      <xdr:colOff>647700</xdr:colOff>
      <xdr:row>14</xdr:row>
      <xdr:rowOff>9525</xdr:rowOff>
    </xdr:from>
    <xdr:to>
      <xdr:col>5</xdr:col>
      <xdr:colOff>733425</xdr:colOff>
      <xdr:row>16</xdr:row>
      <xdr:rowOff>44819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8721BD97-8ABC-A31A-7D05-8C881E863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695700" y="2686050"/>
          <a:ext cx="847725" cy="416294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71739</xdr:colOff>
      <xdr:row>9</xdr:row>
      <xdr:rowOff>56033</xdr:rowOff>
    </xdr:from>
    <xdr:to>
      <xdr:col>10</xdr:col>
      <xdr:colOff>243099</xdr:colOff>
      <xdr:row>10</xdr:row>
      <xdr:rowOff>45289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9" name="Entrada de lápiz 8">
              <a:extLst>
                <a:ext uri="{FF2B5EF4-FFF2-40B4-BE49-F238E27FC236}">
                  <a16:creationId xmlns:a16="http://schemas.microsoft.com/office/drawing/2014/main" id="{049A0E4A-8C07-06D8-760F-D9BDE5799214}"/>
                </a:ext>
              </a:extLst>
            </xdr14:cNvPr>
            <xdr14:cNvContentPartPr/>
          </xdr14:nvContentPartPr>
          <xdr14:nvPr macro=""/>
          <xdr14:xfrm>
            <a:off x="7960680" y="1669680"/>
            <a:ext cx="171360" cy="186480"/>
          </xdr14:xfrm>
        </xdr:contentPart>
      </mc:Choice>
      <mc:Fallback>
        <xdr:pic>
          <xdr:nvPicPr>
            <xdr:cNvPr id="9" name="Entrada de lápiz 8">
              <a:extLst>
                <a:ext uri="{FF2B5EF4-FFF2-40B4-BE49-F238E27FC236}">
                  <a16:creationId xmlns:a16="http://schemas.microsoft.com/office/drawing/2014/main" id="{049A0E4A-8C07-06D8-760F-D9BDE579921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954560" y="1663560"/>
              <a:ext cx="183600" cy="19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268927</xdr:colOff>
      <xdr:row>9</xdr:row>
      <xdr:rowOff>58913</xdr:rowOff>
    </xdr:from>
    <xdr:to>
      <xdr:col>9</xdr:col>
      <xdr:colOff>461753</xdr:colOff>
      <xdr:row>10</xdr:row>
      <xdr:rowOff>44929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10" name="Entrada de lápiz 9">
              <a:extLst>
                <a:ext uri="{FF2B5EF4-FFF2-40B4-BE49-F238E27FC236}">
                  <a16:creationId xmlns:a16="http://schemas.microsoft.com/office/drawing/2014/main" id="{17DF6D25-ABA7-E5F7-F177-689D1DCAFAC5}"/>
                </a:ext>
              </a:extLst>
            </xdr14:cNvPr>
            <xdr14:cNvContentPartPr/>
          </xdr14:nvContentPartPr>
          <xdr14:nvPr macro=""/>
          <xdr14:xfrm>
            <a:off x="6580080" y="1672560"/>
            <a:ext cx="981720" cy="183240"/>
          </xdr14:xfrm>
        </xdr:contentPart>
      </mc:Choice>
      <mc:Fallback>
        <xdr:pic>
          <xdr:nvPicPr>
            <xdr:cNvPr id="10" name="Entrada de lápiz 9">
              <a:extLst>
                <a:ext uri="{FF2B5EF4-FFF2-40B4-BE49-F238E27FC236}">
                  <a16:creationId xmlns:a16="http://schemas.microsoft.com/office/drawing/2014/main" id="{17DF6D25-ABA7-E5F7-F177-689D1DCAFAC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573960" y="1666440"/>
              <a:ext cx="993960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457165</xdr:colOff>
      <xdr:row>8</xdr:row>
      <xdr:rowOff>116527</xdr:rowOff>
    </xdr:from>
    <xdr:to>
      <xdr:col>11</xdr:col>
      <xdr:colOff>608005</xdr:colOff>
      <xdr:row>10</xdr:row>
      <xdr:rowOff>89209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3" name="Entrada de lápiz 12">
              <a:extLst>
                <a:ext uri="{FF2B5EF4-FFF2-40B4-BE49-F238E27FC236}">
                  <a16:creationId xmlns:a16="http://schemas.microsoft.com/office/drawing/2014/main" id="{E313D18B-C92B-9474-2FE6-7A3EDF7E107F}"/>
                </a:ext>
              </a:extLst>
            </xdr14:cNvPr>
            <xdr14:cNvContentPartPr/>
          </xdr14:nvContentPartPr>
          <xdr14:nvPr macro=""/>
          <xdr14:xfrm>
            <a:off x="9135000" y="1550880"/>
            <a:ext cx="150840" cy="349200"/>
          </xdr14:xfrm>
        </xdr:contentPart>
      </mc:Choice>
      <mc:Fallback>
        <xdr:pic>
          <xdr:nvPicPr>
            <xdr:cNvPr id="13" name="Entrada de lápiz 12">
              <a:extLst>
                <a:ext uri="{FF2B5EF4-FFF2-40B4-BE49-F238E27FC236}">
                  <a16:creationId xmlns:a16="http://schemas.microsoft.com/office/drawing/2014/main" id="{E313D18B-C92B-9474-2FE6-7A3EDF7E107F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9128880" y="1544760"/>
              <a:ext cx="163080" cy="36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17831</xdr:colOff>
      <xdr:row>10</xdr:row>
      <xdr:rowOff>43129</xdr:rowOff>
    </xdr:from>
    <xdr:to>
      <xdr:col>12</xdr:col>
      <xdr:colOff>19631</xdr:colOff>
      <xdr:row>10</xdr:row>
      <xdr:rowOff>44929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4" name="Entrada de lápiz 13">
              <a:extLst>
                <a:ext uri="{FF2B5EF4-FFF2-40B4-BE49-F238E27FC236}">
                  <a16:creationId xmlns:a16="http://schemas.microsoft.com/office/drawing/2014/main" id="{C071F2CB-6489-D3DD-F382-090C060D66BB}"/>
                </a:ext>
              </a:extLst>
            </xdr14:cNvPr>
            <xdr14:cNvContentPartPr/>
          </xdr14:nvContentPartPr>
          <xdr14:nvPr macro=""/>
          <xdr14:xfrm>
            <a:off x="9484560" y="1854000"/>
            <a:ext cx="1800" cy="1800"/>
          </xdr14:xfrm>
        </xdr:contentPart>
      </mc:Choice>
      <mc:Fallback>
        <xdr:pic>
          <xdr:nvPicPr>
            <xdr:cNvPr id="14" name="Entrada de lápiz 13">
              <a:extLst>
                <a:ext uri="{FF2B5EF4-FFF2-40B4-BE49-F238E27FC236}">
                  <a16:creationId xmlns:a16="http://schemas.microsoft.com/office/drawing/2014/main" id="{C071F2CB-6489-D3DD-F382-090C060D66BB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9478440" y="1847880"/>
              <a:ext cx="14040" cy="1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421694</xdr:colOff>
      <xdr:row>9</xdr:row>
      <xdr:rowOff>89774</xdr:rowOff>
    </xdr:from>
    <xdr:to>
      <xdr:col>12</xdr:col>
      <xdr:colOff>521774</xdr:colOff>
      <xdr:row>10</xdr:row>
      <xdr:rowOff>40150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20" name="Entrada de lápiz 19">
              <a:extLst>
                <a:ext uri="{FF2B5EF4-FFF2-40B4-BE49-F238E27FC236}">
                  <a16:creationId xmlns:a16="http://schemas.microsoft.com/office/drawing/2014/main" id="{A99B9D8C-F092-4C7C-1536-626A4456C0BA}"/>
                </a:ext>
              </a:extLst>
            </xdr14:cNvPr>
            <xdr14:cNvContentPartPr/>
          </xdr14:nvContentPartPr>
          <xdr14:nvPr macro=""/>
          <xdr14:xfrm>
            <a:off x="9888423" y="1703421"/>
            <a:ext cx="100080" cy="147600"/>
          </xdr14:xfrm>
        </xdr:contentPart>
      </mc:Choice>
      <mc:Fallback>
        <xdr:pic>
          <xdr:nvPicPr>
            <xdr:cNvPr id="20" name="Entrada de lápiz 19">
              <a:extLst>
                <a:ext uri="{FF2B5EF4-FFF2-40B4-BE49-F238E27FC236}">
                  <a16:creationId xmlns:a16="http://schemas.microsoft.com/office/drawing/2014/main" id="{A99B9D8C-F092-4C7C-1536-626A4456C0BA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9882303" y="1697301"/>
              <a:ext cx="112320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313525</xdr:colOff>
      <xdr:row>10</xdr:row>
      <xdr:rowOff>170209</xdr:rowOff>
    </xdr:from>
    <xdr:to>
      <xdr:col>13</xdr:col>
      <xdr:colOff>259976</xdr:colOff>
      <xdr:row>11</xdr:row>
      <xdr:rowOff>44915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22" name="Entrada de lápiz 21">
              <a:extLst>
                <a:ext uri="{FF2B5EF4-FFF2-40B4-BE49-F238E27FC236}">
                  <a16:creationId xmlns:a16="http://schemas.microsoft.com/office/drawing/2014/main" id="{FBB07917-76C4-C61F-7C1D-FA76F8AB90D9}"/>
                </a:ext>
              </a:extLst>
            </xdr14:cNvPr>
            <xdr14:cNvContentPartPr/>
          </xdr14:nvContentPartPr>
          <xdr14:nvPr macro=""/>
          <xdr14:xfrm>
            <a:off x="8991360" y="1981080"/>
            <a:ext cx="1524240" cy="54000"/>
          </xdr14:xfrm>
        </xdr:contentPart>
      </mc:Choice>
      <mc:Fallback>
        <xdr:pic>
          <xdr:nvPicPr>
            <xdr:cNvPr id="22" name="Entrada de lápiz 21">
              <a:extLst>
                <a:ext uri="{FF2B5EF4-FFF2-40B4-BE49-F238E27FC236}">
                  <a16:creationId xmlns:a16="http://schemas.microsoft.com/office/drawing/2014/main" id="{FBB07917-76C4-C61F-7C1D-FA76F8AB90D9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8985240" y="1974960"/>
              <a:ext cx="1536480" cy="6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376391</xdr:colOff>
      <xdr:row>12</xdr:row>
      <xdr:rowOff>43821</xdr:rowOff>
    </xdr:from>
    <xdr:to>
      <xdr:col>13</xdr:col>
      <xdr:colOff>151616</xdr:colOff>
      <xdr:row>13</xdr:row>
      <xdr:rowOff>54247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32" name="Entrada de lápiz 31">
              <a:extLst>
                <a:ext uri="{FF2B5EF4-FFF2-40B4-BE49-F238E27FC236}">
                  <a16:creationId xmlns:a16="http://schemas.microsoft.com/office/drawing/2014/main" id="{14C19566-54A1-D524-0BFC-7550C8ACD6D6}"/>
                </a:ext>
              </a:extLst>
            </xdr14:cNvPr>
            <xdr14:cNvContentPartPr/>
          </xdr14:nvContentPartPr>
          <xdr14:nvPr macro=""/>
          <xdr14:xfrm>
            <a:off x="9843120" y="2213280"/>
            <a:ext cx="564120" cy="189720"/>
          </xdr14:xfrm>
        </xdr:contentPart>
      </mc:Choice>
      <mc:Fallback>
        <xdr:pic>
          <xdr:nvPicPr>
            <xdr:cNvPr id="32" name="Entrada de lápiz 31">
              <a:extLst>
                <a:ext uri="{FF2B5EF4-FFF2-40B4-BE49-F238E27FC236}">
                  <a16:creationId xmlns:a16="http://schemas.microsoft.com/office/drawing/2014/main" id="{14C19566-54A1-D524-0BFC-7550C8ACD6D6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9836996" y="2207160"/>
              <a:ext cx="576368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295885</xdr:colOff>
      <xdr:row>11</xdr:row>
      <xdr:rowOff>169835</xdr:rowOff>
    </xdr:from>
    <xdr:to>
      <xdr:col>12</xdr:col>
      <xdr:colOff>116831</xdr:colOff>
      <xdr:row>14</xdr:row>
      <xdr:rowOff>45593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33" name="Entrada de lápiz 32">
              <a:extLst>
                <a:ext uri="{FF2B5EF4-FFF2-40B4-BE49-F238E27FC236}">
                  <a16:creationId xmlns:a16="http://schemas.microsoft.com/office/drawing/2014/main" id="{9BBC53E7-EA6A-0831-D849-DAEA5BB2DC23}"/>
                </a:ext>
              </a:extLst>
            </xdr14:cNvPr>
            <xdr14:cNvContentPartPr/>
          </xdr14:nvContentPartPr>
          <xdr14:nvPr macro=""/>
          <xdr14:xfrm>
            <a:off x="8973720" y="2160000"/>
            <a:ext cx="609840" cy="413640"/>
          </xdr14:xfrm>
        </xdr:contentPart>
      </mc:Choice>
      <mc:Fallback>
        <xdr:pic>
          <xdr:nvPicPr>
            <xdr:cNvPr id="33" name="Entrada de lápiz 32">
              <a:extLst>
                <a:ext uri="{FF2B5EF4-FFF2-40B4-BE49-F238E27FC236}">
                  <a16:creationId xmlns:a16="http://schemas.microsoft.com/office/drawing/2014/main" id="{9BBC53E7-EA6A-0831-D849-DAEA5BB2DC23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8967600" y="2153880"/>
              <a:ext cx="622080" cy="42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313525</xdr:colOff>
      <xdr:row>12</xdr:row>
      <xdr:rowOff>6741</xdr:rowOff>
    </xdr:from>
    <xdr:to>
      <xdr:col>11</xdr:col>
      <xdr:colOff>694045</xdr:colOff>
      <xdr:row>13</xdr:row>
      <xdr:rowOff>247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35" name="Entrada de lápiz 34">
              <a:extLst>
                <a:ext uri="{FF2B5EF4-FFF2-40B4-BE49-F238E27FC236}">
                  <a16:creationId xmlns:a16="http://schemas.microsoft.com/office/drawing/2014/main" id="{DF64A760-DC88-7DAF-4F9D-3242C18AA991}"/>
                </a:ext>
              </a:extLst>
            </xdr14:cNvPr>
            <xdr14:cNvContentPartPr/>
          </xdr14:nvContentPartPr>
          <xdr14:nvPr macro=""/>
          <xdr14:xfrm>
            <a:off x="8991360" y="2176200"/>
            <a:ext cx="380520" cy="172800"/>
          </xdr14:xfrm>
        </xdr:contentPart>
      </mc:Choice>
      <mc:Fallback>
        <xdr:pic>
          <xdr:nvPicPr>
            <xdr:cNvPr id="35" name="Entrada de lápiz 34">
              <a:extLst>
                <a:ext uri="{FF2B5EF4-FFF2-40B4-BE49-F238E27FC236}">
                  <a16:creationId xmlns:a16="http://schemas.microsoft.com/office/drawing/2014/main" id="{DF64A760-DC88-7DAF-4F9D-3242C18AA991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85240" y="2170080"/>
              <a:ext cx="392760" cy="18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358525</xdr:colOff>
      <xdr:row>9</xdr:row>
      <xdr:rowOff>41993</xdr:rowOff>
    </xdr:from>
    <xdr:to>
      <xdr:col>11</xdr:col>
      <xdr:colOff>712405</xdr:colOff>
      <xdr:row>10</xdr:row>
      <xdr:rowOff>17929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36" name="Entrada de lápiz 35">
              <a:extLst>
                <a:ext uri="{FF2B5EF4-FFF2-40B4-BE49-F238E27FC236}">
                  <a16:creationId xmlns:a16="http://schemas.microsoft.com/office/drawing/2014/main" id="{05B0F790-4192-B344-8521-463EE856AE44}"/>
                </a:ext>
              </a:extLst>
            </xdr14:cNvPr>
            <xdr14:cNvContentPartPr/>
          </xdr14:nvContentPartPr>
          <xdr14:nvPr macro=""/>
          <xdr14:xfrm>
            <a:off x="9036360" y="1655640"/>
            <a:ext cx="353880" cy="173160"/>
          </xdr14:xfrm>
        </xdr:contentPart>
      </mc:Choice>
      <mc:Fallback>
        <xdr:pic>
          <xdr:nvPicPr>
            <xdr:cNvPr id="36" name="Entrada de lápiz 35">
              <a:extLst>
                <a:ext uri="{FF2B5EF4-FFF2-40B4-BE49-F238E27FC236}">
                  <a16:creationId xmlns:a16="http://schemas.microsoft.com/office/drawing/2014/main" id="{05B0F790-4192-B344-8521-463EE856AE44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9030240" y="1649520"/>
              <a:ext cx="366120" cy="18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582353</xdr:colOff>
      <xdr:row>13</xdr:row>
      <xdr:rowOff>150191</xdr:rowOff>
    </xdr:from>
    <xdr:to>
      <xdr:col>12</xdr:col>
      <xdr:colOff>159939</xdr:colOff>
      <xdr:row>14</xdr:row>
      <xdr:rowOff>105537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44" name="Entrada de lápiz 43">
              <a:extLst>
                <a:ext uri="{FF2B5EF4-FFF2-40B4-BE49-F238E27FC236}">
                  <a16:creationId xmlns:a16="http://schemas.microsoft.com/office/drawing/2014/main" id="{D35538B2-09F0-0186-10C4-D3733167BFA5}"/>
                </a:ext>
              </a:extLst>
            </xdr14:cNvPr>
            <xdr14:cNvContentPartPr/>
          </xdr14:nvContentPartPr>
          <xdr14:nvPr macro=""/>
          <xdr14:xfrm>
            <a:off x="9260188" y="2498944"/>
            <a:ext cx="366480" cy="134640"/>
          </xdr14:xfrm>
        </xdr:contentPart>
      </mc:Choice>
      <mc:Fallback>
        <xdr:pic>
          <xdr:nvPicPr>
            <xdr:cNvPr id="44" name="Entrada de lápiz 43">
              <a:extLst>
                <a:ext uri="{FF2B5EF4-FFF2-40B4-BE49-F238E27FC236}">
                  <a16:creationId xmlns:a16="http://schemas.microsoft.com/office/drawing/2014/main" id="{D35538B2-09F0-0186-10C4-D3733167BFA5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9254068" y="2492824"/>
              <a:ext cx="378720" cy="14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71781</xdr:colOff>
      <xdr:row>6</xdr:row>
      <xdr:rowOff>8555</xdr:rowOff>
    </xdr:from>
    <xdr:to>
      <xdr:col>8</xdr:col>
      <xdr:colOff>64447</xdr:colOff>
      <xdr:row>8</xdr:row>
      <xdr:rowOff>128407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63" name="Entrada de lápiz 62">
              <a:extLst>
                <a:ext uri="{FF2B5EF4-FFF2-40B4-BE49-F238E27FC236}">
                  <a16:creationId xmlns:a16="http://schemas.microsoft.com/office/drawing/2014/main" id="{35265238-0EAA-2765-B9F2-0815B870B3A5}"/>
                </a:ext>
              </a:extLst>
            </xdr14:cNvPr>
            <xdr14:cNvContentPartPr/>
          </xdr14:nvContentPartPr>
          <xdr14:nvPr macro=""/>
          <xdr14:xfrm>
            <a:off x="5594040" y="1084320"/>
            <a:ext cx="781560" cy="478440"/>
          </xdr14:xfrm>
        </xdr:contentPart>
      </mc:Choice>
      <mc:Fallback>
        <xdr:pic>
          <xdr:nvPicPr>
            <xdr:cNvPr id="63" name="Entrada de lápiz 62">
              <a:extLst>
                <a:ext uri="{FF2B5EF4-FFF2-40B4-BE49-F238E27FC236}">
                  <a16:creationId xmlns:a16="http://schemas.microsoft.com/office/drawing/2014/main" id="{35265238-0EAA-2765-B9F2-0815B870B3A5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5587920" y="1078200"/>
              <a:ext cx="793800" cy="49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582445</xdr:colOff>
      <xdr:row>13</xdr:row>
      <xdr:rowOff>145687</xdr:rowOff>
    </xdr:from>
    <xdr:to>
      <xdr:col>12</xdr:col>
      <xdr:colOff>271991</xdr:colOff>
      <xdr:row>14</xdr:row>
      <xdr:rowOff>62873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64" name="Entrada de lápiz 63">
              <a:extLst>
                <a:ext uri="{FF2B5EF4-FFF2-40B4-BE49-F238E27FC236}">
                  <a16:creationId xmlns:a16="http://schemas.microsoft.com/office/drawing/2014/main" id="{00EC2E1C-B4B0-425C-6BEC-265D0E55A6DB}"/>
                </a:ext>
              </a:extLst>
            </xdr14:cNvPr>
            <xdr14:cNvContentPartPr/>
          </xdr14:nvContentPartPr>
          <xdr14:nvPr macro=""/>
          <xdr14:xfrm>
            <a:off x="9260280" y="2494440"/>
            <a:ext cx="478440" cy="96480"/>
          </xdr14:xfrm>
        </xdr:contentPart>
      </mc:Choice>
      <mc:Fallback>
        <xdr:pic>
          <xdr:nvPicPr>
            <xdr:cNvPr id="64" name="Entrada de lápiz 63">
              <a:extLst>
                <a:ext uri="{FF2B5EF4-FFF2-40B4-BE49-F238E27FC236}">
                  <a16:creationId xmlns:a16="http://schemas.microsoft.com/office/drawing/2014/main" id="{00EC2E1C-B4B0-425C-6BEC-265D0E55A6DB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9254160" y="2488320"/>
              <a:ext cx="490680" cy="10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430391</xdr:colOff>
      <xdr:row>12</xdr:row>
      <xdr:rowOff>142821</xdr:rowOff>
    </xdr:from>
    <xdr:to>
      <xdr:col>13</xdr:col>
      <xdr:colOff>165656</xdr:colOff>
      <xdr:row>13</xdr:row>
      <xdr:rowOff>45247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65" name="Entrada de lápiz 64">
              <a:extLst>
                <a:ext uri="{FF2B5EF4-FFF2-40B4-BE49-F238E27FC236}">
                  <a16:creationId xmlns:a16="http://schemas.microsoft.com/office/drawing/2014/main" id="{55FE854F-35F7-60BD-EC9E-6A26089C8C65}"/>
                </a:ext>
              </a:extLst>
            </xdr14:cNvPr>
            <xdr14:cNvContentPartPr/>
          </xdr14:nvContentPartPr>
          <xdr14:nvPr macro=""/>
          <xdr14:xfrm>
            <a:off x="9897120" y="2312280"/>
            <a:ext cx="524160" cy="81720"/>
          </xdr14:xfrm>
        </xdr:contentPart>
      </mc:Choice>
      <mc:Fallback>
        <xdr:pic>
          <xdr:nvPicPr>
            <xdr:cNvPr id="65" name="Entrada de lápiz 64">
              <a:extLst>
                <a:ext uri="{FF2B5EF4-FFF2-40B4-BE49-F238E27FC236}">
                  <a16:creationId xmlns:a16="http://schemas.microsoft.com/office/drawing/2014/main" id="{55FE854F-35F7-60BD-EC9E-6A26089C8C65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9891000" y="2306160"/>
              <a:ext cx="536400" cy="9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421256</xdr:colOff>
      <xdr:row>11</xdr:row>
      <xdr:rowOff>10715</xdr:rowOff>
    </xdr:from>
    <xdr:to>
      <xdr:col>13</xdr:col>
      <xdr:colOff>521336</xdr:colOff>
      <xdr:row>11</xdr:row>
      <xdr:rowOff>89915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69" name="Entrada de lápiz 68">
              <a:extLst>
                <a:ext uri="{FF2B5EF4-FFF2-40B4-BE49-F238E27FC236}">
                  <a16:creationId xmlns:a16="http://schemas.microsoft.com/office/drawing/2014/main" id="{A6BB9F94-6712-0073-130F-9E01D2C97331}"/>
                </a:ext>
              </a:extLst>
            </xdr14:cNvPr>
            <xdr14:cNvContentPartPr/>
          </xdr14:nvContentPartPr>
          <xdr14:nvPr macro=""/>
          <xdr14:xfrm>
            <a:off x="10676880" y="2000880"/>
            <a:ext cx="100080" cy="79200"/>
          </xdr14:xfrm>
        </xdr:contentPart>
      </mc:Choice>
      <mc:Fallback>
        <xdr:pic>
          <xdr:nvPicPr>
            <xdr:cNvPr id="69" name="Entrada de lápiz 68">
              <a:extLst>
                <a:ext uri="{FF2B5EF4-FFF2-40B4-BE49-F238E27FC236}">
                  <a16:creationId xmlns:a16="http://schemas.microsoft.com/office/drawing/2014/main" id="{A6BB9F94-6712-0073-130F-9E01D2C97331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0670760" y="1994760"/>
              <a:ext cx="112320" cy="9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762896</xdr:colOff>
      <xdr:row>9</xdr:row>
      <xdr:rowOff>196793</xdr:rowOff>
    </xdr:from>
    <xdr:to>
      <xdr:col>14</xdr:col>
      <xdr:colOff>281442</xdr:colOff>
      <xdr:row>11</xdr:row>
      <xdr:rowOff>132035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71" name="Entrada de lápiz 70">
              <a:extLst>
                <a:ext uri="{FF2B5EF4-FFF2-40B4-BE49-F238E27FC236}">
                  <a16:creationId xmlns:a16="http://schemas.microsoft.com/office/drawing/2014/main" id="{5BD62FD1-5648-396B-DD1F-9B1A66E6A843}"/>
                </a:ext>
              </a:extLst>
            </xdr14:cNvPr>
            <xdr14:cNvContentPartPr/>
          </xdr14:nvContentPartPr>
          <xdr14:nvPr macro=""/>
          <xdr14:xfrm>
            <a:off x="11018520" y="1810440"/>
            <a:ext cx="307440" cy="311760"/>
          </xdr14:xfrm>
        </xdr:contentPart>
      </mc:Choice>
      <mc:Fallback>
        <xdr:pic>
          <xdr:nvPicPr>
            <xdr:cNvPr id="71" name="Entrada de lápiz 70">
              <a:extLst>
                <a:ext uri="{FF2B5EF4-FFF2-40B4-BE49-F238E27FC236}">
                  <a16:creationId xmlns:a16="http://schemas.microsoft.com/office/drawing/2014/main" id="{5BD62FD1-5648-396B-DD1F-9B1A66E6A843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1012400" y="1804320"/>
              <a:ext cx="319680" cy="32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546798</xdr:colOff>
      <xdr:row>15</xdr:row>
      <xdr:rowOff>17859</xdr:rowOff>
    </xdr:from>
    <xdr:to>
      <xdr:col>4</xdr:col>
      <xdr:colOff>367024</xdr:colOff>
      <xdr:row>15</xdr:row>
      <xdr:rowOff>73659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73" name="Entrada de lápiz 72">
              <a:extLst>
                <a:ext uri="{FF2B5EF4-FFF2-40B4-BE49-F238E27FC236}">
                  <a16:creationId xmlns:a16="http://schemas.microsoft.com/office/drawing/2014/main" id="{8CF9BF35-C76C-5DE6-43B5-9C5F4DA66A07}"/>
                </a:ext>
              </a:extLst>
            </xdr14:cNvPr>
            <xdr14:cNvContentPartPr/>
          </xdr14:nvContentPartPr>
          <xdr14:nvPr macro=""/>
          <xdr14:xfrm>
            <a:off x="2913480" y="2725200"/>
            <a:ext cx="609120" cy="55800"/>
          </xdr14:xfrm>
        </xdr:contentPart>
      </mc:Choice>
      <mc:Fallback>
        <xdr:pic>
          <xdr:nvPicPr>
            <xdr:cNvPr id="73" name="Entrada de lápiz 72">
              <a:extLst>
                <a:ext uri="{FF2B5EF4-FFF2-40B4-BE49-F238E27FC236}">
                  <a16:creationId xmlns:a16="http://schemas.microsoft.com/office/drawing/2014/main" id="{8CF9BF35-C76C-5DE6-43B5-9C5F4DA66A07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2907360" y="2719080"/>
              <a:ext cx="621360" cy="68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7:37:20.75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24479,'0'2017'0,"1429"-2017"0,-1429-2017 0,-1429 2017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7:39:29.44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93 24444,'2775'0'0,"-2959"-92"0,368 184 0,-368 1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9:27:51.55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0 517 24575,'6'-3'0,"0"-1"0,-1 0 0,0 0 0,0-1 0,0 1 0,0-1 0,-1 0 0,7-10 0,27-48 0,55-132 0,-83 167 0,-9 24 0,0-1 0,1 1 0,-1 0 0,1 0 0,0 0 0,0 0 0,0 0 0,1 0 0,-1 1 0,1-1 0,0 1 0,0-1 0,0 1 0,1 0 0,-1 0 0,1 1 0,0-1 0,5-2 0,9-3 0,36-12 0,-41 16 0,0-1 0,0 0 0,0 0 0,-1-1 0,22-14 0,7-9-1365,-23 19-5461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9:27:48.48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1992 509 24575,'7'-1'0,"0"0"0,0-1 0,0 0 0,0 0 0,0-1 0,0 1 0,-1-2 0,8-3 0,15-8 0,-10 6 0,-1-1 0,-1 0 0,0-2 0,-1 0 0,18-17 0,22-16 0,-5 7 0,-1-1 0,51-53 0,-87 78 0,1 2 0,0 0 0,31-18 0,16-12 0,-8 9 131,-15 11-1627,-27 14-5330</inkml:trace>
  <inkml:trace contextRef="#ctx0" brushRef="#br0" timeOffset="1106.68">0 360 24575,'10'-1'0,"0"0"0,0 0 0,0-1 0,0 0 0,-1-1 0,1 0 0,9-4 0,63-36 0,-53 27 0,-10 5 0,32-26 0,-36 25 0,2 0 0,29-16 0,59-23 0,-20 20-1365,-59 23-5461</inkml:trace>
  <inkml:trace contextRef="#ctx0" brushRef="#br0" timeOffset="1866.52">1195 360 24575,'71'-4'0,"0"-3"0,101-22 0,-82 11 0,-49 10-227,-1-2-1,0-2 1,0-2-1,-2-1 1,62-34-1,-77 35-6598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9:27:55.72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1 772 24575,'68'1'0,"-16"1"0,59-7 0,-97 4 0,0-1 0,0 0 0,0-2 0,-1 1 0,1-2 0,-1 0 0,0 0 0,24-15 0,-34 18 0,0 0 0,0 1 0,0-1 0,-1-1 0,1 1 0,-1 0 0,0 0 0,0-1 0,0 1 0,0-1 0,0 0 0,0 0 0,-1 0 0,1 0 0,-1 0 0,0 0 0,0 0 0,0 0 0,0 0 0,0-1 0,0-3 0,-2 3 0,0-1 0,1 0 0,-1 1 0,-1-1 0,1 0 0,-1 1 0,0 0 0,0-1 0,0 1 0,0 0 0,-1 0 0,0 0 0,-6-7 0,-4-3 0,0-1 0,-2 2 0,0 0 0,0 1 0,-1 0 0,-21-11 0,5 6 0,-1 2 0,-47-16 0,80 31 0,0 0 0,0 0 0,0 0 0,0 0 0,0 0 0,0 0 0,0 0 0,0 0 0,0 0 0,1 0 0,-1 0 0,0 0 0,0 0 0,0 0 0,0 0 0,0-1 0,0 1 0,0 0 0,0 0 0,0 0 0,0 0 0,0 0 0,0 0 0,0 0 0,0 0 0,0 0 0,0 0 0,0 0 0,0 0 0,0 0 0,0 0 0,0 0 0,0 0 0,1-1 0,-1 1 0,0 0 0,0 0 0,0 0 0,0 0 0,0 0 0,-1 0 0,1 0 0,0 0 0,0 0 0,0 0 0,0 0 0,0 0 0,0 0 0,0-1 0,0 1 0,0 0 0,0 0 0,0 0 0,0 0 0,0 0 0,0 0 0,0 0 0,0 0 0,0 0 0,0 0 0,0 0 0,0 0 0,0 0 0,-1 0 0,14-5 0,30-5 0,-7 2 0,100-38-1365,-111 40-5461</inkml:trace>
  <inkml:trace contextRef="#ctx0" brushRef="#br0" timeOffset="769.76">349 0 24575,'0'948'-1365,"0"-927"-5461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9:27:57.74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5 24575,'4'-4'0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9:27:59.89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99 0 24575,'0'2'0,"-1"1"0,1-1 0,-1 0 0,0 0 0,0 0 0,0 0 0,0 0 0,0 0 0,0 0 0,-1 0 0,1 0 0,-3 2 0,-6 11 0,4-3 0,-39 82 0,40-82 0,1 0 0,0 0 0,1 1 0,1-1 0,-3 25 0,5-33 0,1-1 0,-1 0 0,1 0 0,-1 1 0,1-1 0,0 0 0,0 0 0,0 0 0,1 0 0,-1 0 0,1 0 0,0 0 0,-1-1 0,1 1 0,0-1 0,1 1 0,-1-1 0,0 0 0,1 1 0,-1-1 0,1-1 0,0 1 0,0 0 0,0-1 0,0 1 0,0-1 0,0 0 0,0 0 0,0 0 0,5 1 0,0 0 0,1-1 0,0 1 0,-1-1 0,1-1 0,0 0 0,0 0 0,0 0 0,-1-1 0,1-1 0,11-2 0,-15 1 0,1 0 0,-1 0 0,0 0 0,0 0 0,0-1 0,-1 0 0,1 0 0,-1 0 0,0-1 0,0 0 0,0 1 0,-1-1 0,0 0 0,0-1 0,0 1 0,-1-1 0,3-5 0,1-6 0,0 1 0,-2 0 0,1-1 0,2-29 0,-6 32 0,0 20 0,-3 38 0,1-5 0,0 134-1365,1-138-5461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9:28:05.52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1 149 24072,'4233'-149'0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9:28:11.97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28 24575,'1'1'0,"1"-1"0,-1 1 0,1 0 0,-1 0 0,1-1 0,-1 1 0,0 0 0,0 0 0,1 0 0,-1 0 0,0 1 0,0-1 0,0 0 0,0 0 0,0 1 0,0-1 0,0 1 0,-1-1 0,1 1 0,0-1 0,-1 1 0,1-1 0,-1 3 0,12 38 0,-12-41 0,38 259 0,-39-304 0,0-63 0,2 93 0,0 1 0,1-1 0,1 1 0,0-1 0,8-20 0,-10 31 0,0 0 0,1 0 0,-1 0 0,0 1 0,1-1 0,0 0 0,0 1 0,0-1 0,0 1 0,0 0 0,0 0 0,1-1 0,-1 1 0,1 1 0,-1-1 0,1 0 0,0 1 0,0-1 0,0 1 0,0 0 0,0 0 0,0 0 0,0 0 0,6 0 0,-6 1 0,1 0 0,0 1 0,0 0 0,0-1 0,0 1 0,0 1 0,-1-1 0,1 0 0,-1 1 0,1 0 0,-1 0 0,1 0 0,-1 0 0,0 0 0,0 1 0,0-1 0,0 1 0,-1 0 0,5 6 0,22 40 0,-26-41 0,1 0 0,0 0 0,1-1 0,-1 0 0,1 0 0,1 0 0,-1 0 0,11 8 0,-14-14 0,-1 0 0,1 0 0,0 0 0,0 0 0,0-1 0,0 1 0,0-1 0,0 1 0,0-1 0,1 0 0,-1 0 0,0 0 0,0 0 0,0 0 0,0-1 0,0 1 0,0 0 0,0-1 0,0 0 0,0 1 0,0-1 0,0 0 0,0 0 0,-1 0 0,1 0 0,0 0 0,0-1 0,-1 1 0,1 0 0,-1-1 0,1 1 0,1-4 0,7-6 0,-1-1 0,0 0 0,10-18 0,-16 24 0,2-2 0,0 0 0,1 0 0,-1 0 0,2 1 0,10-11 0,-16 17 0,0 0 0,0 0 0,0 0 0,0 1 0,1-1 0,-1 0 0,0 1 0,0-1 0,1 1 0,-1-1 0,0 1 0,1 0 0,-1 0 0,0-1 0,1 1 0,-1 0 0,0 0 0,1 0 0,1 1 0,-1 0 0,0 0 0,-1 0 0,1 0 0,0 0 0,-1 0 0,1 0 0,-1 0 0,1 1 0,-1-1 0,0 1 0,1-1 0,-1 1 0,0 0 0,0-1 0,0 1 0,0 0 0,0 3 0,46 116-1365,-36-95-5461</inkml:trace>
  <inkml:trace contextRef="#ctx0" brushRef="#br0" timeOffset="931.45">873 178 24575,'0'1'0,"0"-1"0,1 1 0,-1 0 0,1 0 0,-1 0 0,1-1 0,-1 1 0,1 0 0,-1-1 0,1 1 0,0 0 0,0-1 0,-1 1 0,1-1 0,0 1 0,0-1 0,-1 1 0,1-1 0,0 0 0,0 1 0,0-1 0,0 0 0,0 0 0,1 1 0,24 3 0,-18-3 0,0-1 0,0-1 0,-1 1 0,1-1 0,0-1 0,-1 1 0,1-1 0,-1-1 0,1 1 0,-1-1 0,0-1 0,0 1 0,0-1 0,10-8 0,-14 9 0,0 1 0,-1 0 0,0-1 0,1 1 0,-1-1 0,0 0 0,0 0 0,-1 0 0,1 0 0,0 0 0,-1 0 0,0 0 0,0 0 0,0-1 0,0 1 0,0 0 0,-1-1 0,0 1 0,1-1 0,-1 1 0,-1-1 0,1 1 0,0 0 0,-1-1 0,1 1 0,-1 0 0,0-1 0,0 1 0,-1 0 0,1 0 0,-1 0 0,1 0 0,-1 0 0,0 0 0,-3-3 0,3 2 0,-1 1 0,1 0 0,-1-1 0,0 1 0,0 1 0,0-1 0,-1 0 0,1 1 0,-1-1 0,1 1 0,-1 0 0,0 0 0,0 1 0,1-1 0,-1 1 0,-1 0 0,-5-2 0,3 3 0,0-1 0,0 1 0,-1 1 0,1-1 0,0 1 0,0 0 0,0 1 0,0 0 0,-11 4 0,1 1 0,1 1 0,0 0 0,0 2 0,0 0 0,1 1 0,1 0 0,-18 18 0,17-13 0,0 1 0,1 0 0,0 1 0,-13 26 0,22-35 0,0 0 0,1 0 0,0 1 0,1-1 0,0 1 0,1 0 0,0 0 0,0 0 0,1 0 0,0 0 0,2 19 0,-1-25 0,1-1 0,0 1 0,0-1 0,0 1 0,1-1 0,-1 0 0,1 1 0,0-1 0,-1 0 0,1 0 0,1 0 0,-1 0 0,0-1 0,1 1 0,-1-1 0,1 1 0,0-1 0,0 0 0,0 0 0,0 0 0,0 0 0,1-1 0,-1 0 0,0 1 0,1-1 0,-1 0 0,1 0 0,6 0 0,11 2 0,0-1 0,0 0 0,38-4 0,-33 1 0,39-5-1365,-42 0-5461</inkml:trace>
  <inkml:trace contextRef="#ctx0" brushRef="#br0" timeOffset="2021.13">1196 526 24575,'30'0'0,"0"-1"0,-1-1 0,36-8 0,-59 9 0,1 0 0,0-1 0,-1 0 0,0 0 0,1-1 0,-1 1 0,0-1 0,0-1 0,0 1 0,-1-1 0,1 0 0,-1 0 0,0-1 0,0 1 0,-1-1 0,1 0 0,-1-1 0,0 1 0,0-1 0,3-8 0,-5 10 0,-1 0 0,0 0 0,0 0 0,0 0 0,0 0 0,-1 0 0,0-1 0,0 1 0,0 0 0,0 0 0,-1 0 0,1-1 0,-1 1 0,0 0 0,-1 0 0,1 0 0,-1 0 0,1 0 0,-1 1 0,0-1 0,-5-6 0,1 3 0,1 0 0,-1 1 0,-1 0 0,1 0 0,-1 0 0,0 1 0,-1 0 0,1 0 0,-12-5 0,14 8 0,1 0 0,0 0 0,0 0 0,0-1 0,0 0 0,0 0 0,1 0 0,-1 0 0,1-1 0,-3-3 0,5 5 0,0 0 0,0 1 0,0-1 0,0 0 0,0 0 0,1 0 0,-1 0 0,1 0 0,0 0 0,-1 0 0,1 0 0,0 0 0,0 0 0,0 0 0,0 0 0,1 0 0,-1 0 0,0 0 0,1 0 0,-1 0 0,1 1 0,0-1 0,0 0 0,0 0 0,0 0 0,1-1 0,2-4 0,1 1 0,-1 0 0,1 0 0,0 1 0,0-1 0,1 1 0,-1 0 0,1 1 0,0-1 0,1 1 0,-1 0 0,1 1 0,0-1 0,0 1 0,0 1 0,0-1 0,0 1 0,0 1 0,1-1 0,-1 1 0,1 1 0,-1-1 0,12 2 0,-15-1-86,0 0-6,0 0 1,0 0 0,0 0-1,0 0 1,0-1 0,0 1-1,-1-1 1,1 0 0,0 0-1,0-1 1,-1 1 0,1-1-1,3-2 1,4-6-6735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9:28:07.76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473 425 24575,'6'0'0,"0"1"0,-1 0 0,0 0 0,1 1 0,7 3 0,18 4 0,-27-9 0,6 2 0,1 0 0,0-1 0,-1-1 0,1 1 0,12-3 0,-21 2 0,0 0 0,1-1 0,-1 1 0,0-1 0,1 0 0,-1 0 0,0 0 0,0 0 0,0 0 0,0 0 0,0-1 0,0 1 0,0-1 0,0 1 0,0-1 0,-1 0 0,1 0 0,-1 0 0,1 0 0,-1 0 0,0 0 0,1 0 0,-1 0 0,0 0 0,-1 0 0,1-1 0,0 1 0,0-4 0,1-6 0,0 0 0,-1 1 0,-1-1 0,-1-21 0,1 29 0,0 0 0,-1 0 0,1 1 0,-1-1 0,0 0 0,-1 1 0,1-1 0,0 1 0,-1-1 0,0 1 0,0-1 0,0 1 0,0 0 0,-1 0 0,1 0 0,-1 0 0,1 1 0,-5-4 0,-14-6 0,0 1 0,-1 2 0,-29-11 0,-4 0 0,55 19 0,-1 1 0,0 0 0,1 0 0,-1 0 0,0 0 0,1-1 0,-1 1 0,0 0 0,1-1 0,-1 1 0,0 0 0,1-1 0,-1 1 0,1-1 0,-1 1 0,1-1 0,-1 1 0,1-1 0,0 1 0,-1-1 0,1 1 0,-1-1 0,1 0 0,0 1 0,0-1 0,-1 0 0,1 1 0,0-1 0,0 0 0,0 1 0,0-1 0,0-1 0,0 1 0,1 0 0,0 0 0,0-1 0,0 1 0,0 0 0,0 0 0,0 0 0,0 0 0,0 0 0,0 0 0,0 1 0,1-1 0,-1 0 0,2 0 0,49-18 0,32-2-682,104-39-1,-167 52-6143</inkml:trace>
  <inkml:trace contextRef="#ctx0" brushRef="#br0" timeOffset="827.64">722 1 24575,'0'4'0,"0"11"0,0 10 0,-5 10 0,0 7 0,0 9 0,-4 5 0,0 5 0,2 1 0,2-6 0,1-4 0,2-6 0,2-8 0,0-5 0,0-8-8191</inkml:trace>
  <inkml:trace contextRef="#ctx0" brushRef="#br0" timeOffset="1347.79">0 973 24575,'9'-4'0,"15"-11"0,16-10 0,31-10 0,37-15 0,48-17 0,25-14 0,18-1 0,-10 0 0,-23 6 0,-36 12 0,-41 12 0,-34 19 0,-31 15 0,-25 20 0,-11 13 0,-4 4-8191</inkml:trace>
  <inkml:trace contextRef="#ctx0" brushRef="#br0" timeOffset="2505.8">249 898 24575,'-1'6'0,"-1"-1"0,1 0 0,-1 0 0,0 0 0,-1 0 0,1 0 0,-1-1 0,0 1 0,0-1 0,-1 0 0,-4 5 0,-10 15 0,15-18 0,0-1 0,0 0 0,1 1 0,-1 0 0,1 0 0,0 0 0,1 0 0,0 0 0,0 0 0,0 0 0,0 8 0,1-12 0,1 1 0,-1-1 0,0 1 0,1-1 0,0 1 0,-1-1 0,1 0 0,0 1 0,0-1 0,0 0 0,1 1 0,-1-1 0,1 0 0,-1 0 0,1 0 0,0 0 0,-1-1 0,1 1 0,0 0 0,0-1 0,0 1 0,0-1 0,1 0 0,-1 0 0,0 1 0,1-1 0,-1-1 0,0 1 0,3 0 0,2 1 0,-1-1 0,0 0 0,0 0 0,1 0 0,-1-1 0,0 0 0,0-1 0,1 1 0,-1-1 0,0 0 0,0-1 0,0 1 0,0-1 0,0 0 0,0-1 0,0 0 0,-1 0 0,1 0 0,-1 0 0,6-5 0,-3 1 0,0-1 0,-1 1 0,0-1 0,0 0 0,-1-1 0,0 1 0,0-1 0,-1-1 0,0 1 0,-1-1 0,5-12 0,-7 13 0,7-20 0,-5 25 0,-1 17 0,-1 35-52,-3-27-277,2 0 1,1-1 0,8 39 0,1-25-6498</inkml:trace>
  <inkml:trace contextRef="#ctx0" brushRef="#br0" timeOffset="2799.13">1669 599 24575,'0'-5'0,"4"0"0,6 0 0,1 0-8191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9:28:25.1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1 480 24575,'1'-2'0,"-1"1"0,1-1 0,0 1 0,0 0 0,0-1 0,1 1 0,-1 0 0,0 0 0,0 0 0,1 0 0,-1 0 0,0 0 0,1 0 0,-1 0 0,1 1 0,-1-1 0,1 0 0,-1 1 0,1-1 0,0 1 0,2-1 0,6-2 0,295-131 0,-237 100 0,-33 16 0,0 1 0,59-18 0,-79 30 0,1-1 0,-1-1 0,0 0 0,16-10 0,-20 11 0,1 0 0,0 2 0,25-8 0,-22 8 0,-1 0 0,24-11 0,23-20 0,-38 21 0,1 1 0,0 1 0,33-11 0,-15 6-1365,-26 7-5461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9:28:26.2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1 481 24575,'17'-2'0,"1"-1"0,-1 0 0,0-1 0,0-1 0,0 0 0,-1-2 0,19-9 0,18-6 0,46-20 0,-1-5 0,102-68 0,-120 71 0,-44 26 0,-1-2 0,48-36 0,-73 49 22,-1 1-1,1 0 0,0 1 0,1 0 1,15-5-1,26-13-1514,-37 13-5333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9:32:44.28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2 230 24575,'0'12'0,"-1"3"0,1 0 0,0-1 0,2 1 0,-1-1 0,2 1 0,7 23 0,-10-38 0,0 0 0,0 0 0,0 1 0,0-1 0,0 0 0,0 0 0,0 1 0,0-1 0,0 0 0,0 0 0,0 0 0,0 1 0,0-1 0,1 0 0,-1 0 0,0 0 0,0 1 0,0-1 0,0 0 0,1 0 0,-1 0 0,0 1 0,0-1 0,0 0 0,1 0 0,-1 0 0,0 0 0,0 0 0,1 0 0,-1 0 0,0 0 0,0 0 0,1 0 0,-1 1 0,0-1 0,0 0 0,1 0 0,-1 0 0,0-1 0,0 1 0,0 0 0,1 0 0,-1 0 0,0 0 0,0 0 0,1 0 0,-1 0 0,0 0 0,0 0 0,1-1 0,-1 1 0,0 0 0,0 0 0,0 0 0,0 0 0,1-1 0,-1 1 0,0 0 0,0 0 0,0 0 0,0-1 0,0 1 0,1 0 0,-1 0 0,0 0 0,0-1 0,8-16 0,2-21 0,8-60 0,2-10 0,-16 91 0,-2 9 0,0 0 0,0 0 0,0 0 0,1 1 0,0-1 0,7-9 0,-9 14 0,1 1 0,0 0 0,0 0 0,0 0 0,0 1 0,0-1 0,1 0 0,-1 1 0,0 0 0,1-1 0,-1 1 0,1 0 0,0 0 0,-1 0 0,1 1 0,0-1 0,-1 1 0,1-1 0,0 1 0,0 0 0,0 0 0,-1 0 0,4 1 0,-4-1 0,0 0 0,1 0 0,-1 0 0,0 1 0,0-1 0,0 1 0,0-1 0,0 1 0,0 0 0,-1 0 0,1 0 0,0 0 0,0 0 0,0 0 0,-1 0 0,1 1 0,-1-1 0,1 1 0,-1-1 0,0 1 0,1-1 0,-1 1 0,0 0 0,0 0 0,1 2 0,0 3 0,1 0 0,-2 1 0,1-1 0,-1 1 0,0 12 0,-1-14 0,0 0 0,1 0 0,0 1 0,0-1 0,0 0 0,1 0 0,3 7 0,-5-13 0,0 1 0,1 0 0,-1-1 0,1 1 0,-1-1 0,1 1 0,-1-1 0,1 1 0,-1-1 0,1 1 0,-1-1 0,1 1 0,0-1 0,-1 0 0,1 1 0,0-1 0,-1 0 0,1 1 0,0-1 0,-1 0 0,1 0 0,0 0 0,0 0 0,-1 0 0,1 0 0,0 0 0,0 0 0,-1 0 0,1 0 0,0 0 0,-1 0 0,1-1 0,0 1 0,0 0 0,-1 0 0,1-1 0,0 1 0,-1 0 0,1-1 0,-1 1 0,1-1 0,-1 1 0,1-1 0,0 0 0,26-28 0,-23 24 0,15-21 0,16-20 0,-33 44 0,0-1 0,0 1 0,0 0 0,1 1 0,-1-1 0,0 0 0,1 1 0,-1-1 0,1 1 0,0 0 0,0 0 0,-1 0 0,1 0 0,0 0 0,4 0 0,-6 1 0,0 0 0,0 0 0,1 1 0,-1-1 0,0 1 0,0-1 0,1 1 0,-1-1 0,0 1 0,0-1 0,0 1 0,0 0 0,0 0 0,0 0 0,0-1 0,0 1 0,0 0 0,0 0 0,0 0 0,0 0 0,-1 1 0,1-1 0,-1 0 0,1 0 0,0 0 0,-1 1 0,0-1 0,1 0 0,-1 0 0,0 1 0,0 1 0,5 46 0,-5-45 0,-1 49-1365,0-30-5461</inkml:trace>
  <inkml:trace contextRef="#ctx0" brushRef="#br0" timeOffset="857.72">599 156 24575,'11'0'0,"-1"0"0,0 0 0,0 0 0,0-1 0,0 0 0,0-1 0,10-3 0,-18 5 0,0-1 0,0 0 0,0 0 0,0-1 0,0 1 0,0 0 0,0-1 0,0 1 0,0-1 0,-1 0 0,1 1 0,-1-1 0,1 0 0,-1 0 0,0 0 0,0 0 0,0 0 0,0 0 0,0 0 0,0-1 0,0 1 0,-1 0 0,1 0 0,-1-1 0,0 1 0,1 0 0,-1-1 0,0 1 0,0 0 0,-1-1 0,0-3 0,1 5 0,0-1 0,0 1 0,0-1 0,0 1 0,0 0 0,-1-1 0,1 1 0,-1-1 0,1 1 0,-1-1 0,1 1 0,-1 0 0,0-1 0,0 1 0,0 0 0,0 0 0,0 0 0,0 0 0,0 0 0,0 0 0,0 0 0,0 0 0,0 0 0,-1 0 0,1 0 0,0 1 0,-1-1 0,1 1 0,0-1 0,-1 1 0,1-1 0,-1 1 0,1 0 0,-1 0 0,1-1 0,-1 1 0,1 0 0,-1 1 0,1-1 0,-1 0 0,1 0 0,-2 1 0,-4 1 0,1-1 0,0 1 0,-1 1 0,1-1 0,1 1 0,-1 0 0,0 1 0,-6 5 0,-1 0 0,2 1 0,-1 0 0,2 1 0,-1 0 0,-15 23 0,24-30 0,0-1 0,-1 1 0,2-1 0,-1 1 0,0 0 0,1-1 0,0 1 0,0 0 0,0 0 0,0 0 0,0 0 0,1 0 0,0 0 0,0 0 0,0 0 0,0 0 0,1 0 0,-1 0 0,1 0 0,0 0 0,0 0 0,1 0 0,-1-1 0,1 1 0,0 0 0,0-1 0,3 5 0,-3-5 7,1 0 0,0-1 0,0 1 0,0 0 0,0-1-1,0 0 1,0 0 0,1 0 0,-1 0 0,1-1 0,-1 1-1,1-1 1,0 0 0,0 0 0,6 1 0,6 0-398,-1-1 0,25-1 0,-35-1 89,17 0-6524</inkml:trace>
  <inkml:trace contextRef="#ctx0" brushRef="#br0" timeOffset="1677.85">749 305 24575,'0'1'0,"0"0"0,0 0 0,1 0 0,-1 0 0,1 0 0,-1-1 0,1 1 0,-1 0 0,1 0 0,-1-1 0,1 1 0,-1 0 0,1 0 0,0-1 0,0 1 0,-1-1 0,1 1 0,0-1 0,0 1 0,0-1 0,0 1 0,-1-1 0,1 0 0,0 1 0,0-1 0,0 0 0,2 0 0,30 5 0,-28-5 0,-3 1 0,20 1 0,1 0 0,0-1 0,1-1 0,-1-1 0,29-5 0,-49 5 0,-1 1 0,0-1 0,1 0 0,-1 0 0,0 1 0,0-1 0,0-1 0,1 1 0,-1 0 0,0-1 0,-1 1 0,1-1 0,0 1 0,0-1 0,-1 0 0,3-3 0,-3 4 0,0-1 0,-1 0 0,1 1 0,-1-1 0,1 0 0,-1 1 0,0-1 0,0 0 0,0 1 0,0-1 0,0 0 0,0 0 0,0 1 0,0-1 0,-1 0 0,1 1 0,-1-1 0,0-1 0,-2-3 0,0 0 0,0 1 0,0-1 0,-1 1 0,0 0 0,0 0 0,-1 0 0,1 1 0,-1-1 0,-10-6 0,-19-8 0,26 15 0,0 0 0,1 0 0,0-1 0,0 0 0,0 0 0,-11-11 0,18 15 0,-1 1 0,1-1 0,-1 0 0,1 0 0,-1 0 0,1 1 0,-1-1 0,1 0 0,0 0 0,-1 0 0,1 0 0,0 0 0,0 1 0,0-1 0,-1 0 0,1 0 0,0 0 0,0 0 0,0 0 0,1 0 0,-1 0 0,0 0 0,0 0 0,0 0 0,1 1 0,0-3 0,0 1 0,1 0 0,-1 0 0,1 0 0,-1 0 0,1 1 0,0-1 0,0 0 0,0 1 0,4-3 0,4-2 0,0 1 0,0 0 0,15-4 0,9 0-1365,-4 2-5461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9:33:30.16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672 524 24575,'25'2'0,"41"6"0,3 1 0,-28-5 0,-17-1 0,0-1 0,0-1 0,0-1 0,0-1 0,0-1 0,35-9 0,-56 11 0,0-1 0,0 0 0,-1 0 0,1-1 0,0 1 0,-1 0 0,1-1 0,-1 0 0,0 0 0,1 1 0,-1-1 0,0 0 0,0-1 0,0 1 0,0 0 0,-1-1 0,1 1 0,-1-1 0,1 1 0,-1-1 0,0 0 0,0 1 0,0-1 0,0 0 0,-1 0 0,1 0 0,-1 0 0,0 0 0,0 0 0,0 0 0,0 1 0,0-1 0,0 0 0,-1 0 0,-1-4 0,0-3 0,-1 0 0,-1 1 0,1 0 0,-1 0 0,-1 0 0,0 0 0,0 1 0,-1 0 0,-8-10 0,-7-2 0,-1 1 0,0 1 0,-1 1 0,-2 2 0,-47-25 0,-10-6 0,81 45 0,-1 0 0,1 1 0,-1-1 0,1 0 0,0 0 0,-1-1 0,1 1 0,0 0 0,0 0 0,-1-1 0,1 1 0,0 0 0,-1-4 0,2 5 0,0 0 0,0-1 0,0 1 0,0-1 0,0 1 0,0 0 0,1-1 0,-1 1 0,0-1 0,0 1 0,0 0 0,0-1 0,1 1 0,-1-1 0,0 1 0,0 0 0,1 0 0,-1-1 0,0 1 0,1 0 0,-1-1 0,0 1 0,1 0 0,-1 0 0,0 0 0,1-1 0,-1 1 0,1 0 0,-1 0 0,0 0 0,1 0 0,0 0 0,8-2 0,-1 0 0,1 1 0,-1 1 0,10-1 0,34 4 0,26-1 0,-71-3 0,1 1 0,-1-1 0,0 0 0,0-1 0,0 0 0,0 0 0,13-5 0,-19 6-3,0 1 0,0-1 0,0 1-1,0-1 1,0 0 0,0 1 0,0-1 0,0 0-1,0 0 1,0 1 0,-1-1 0,1 0-1,0 0 1,0 0 0,-1 0 0,1 0 0,0 0-1,-1 0 1,0-1 0,1 1 0,-1 0-1,1 0 1,-1 0 0,0-3 0,0 3 16,0-1 1,-1 0-1,1 1 0,-1-1 1,0 0-1,1 1 0,-1-1 1,0 1-1,0-1 0,0 1 1,0-1-1,0 1 0,-1 0 1,-1-3-1,-5-2-310,-1 0 0,1 0 0,-1 0 0,-13-5 0,-7-2-6529</inkml:trace>
  <inkml:trace contextRef="#ctx0" brushRef="#br0" timeOffset="538.15">1021 1 24575,'0'22'0,"-2"0"0,-1 0 0,-1 0 0,-7 24 0,-33 84 0,6-17 0,9-19 0,-33 124 0,55-177-1365,6-23-5461</inkml:trace>
  <inkml:trace contextRef="#ctx0" brushRef="#br0" timeOffset="1375.73">0 674 24575,'45'2'0,"0"2"0,51 12 0,6 0 0,451 22 0,3-38 0,-545-1 0,61 0-1365</inkml:trace>
  <inkml:trace contextRef="#ctx0" brushRef="#br0" timeOffset="3032.84">199 948 24575,'-3'0'0,"0"1"0,1 0 0,-1 0 0,0 0 0,1 0 0,-1 0 0,1 0 0,-1 1 0,1-1 0,-1 1 0,1 0 0,0-1 0,0 1 0,0 0 0,0 0 0,0 1 0,0-1 0,1 0 0,-3 5 0,-26 50 0,29-55 0,-1 3 0,0 0 0,0 0 0,1 0 0,-1 0 0,1 0 0,0 0 0,0 11 0,1-13 0,1-1 0,-1 1 0,0-1 0,1 1 0,-1-1 0,1 1 0,0-1 0,0 1 0,0-1 0,0 0 0,0 0 0,1 1 0,-1-1 0,1 0 0,-1 0 0,1 0 0,0 0 0,3 2 0,6 7 0,0 0 0,0 0 0,15 23 0,-16-20 0,1-1 0,19 20 0,-25-30 0,0 0 0,-1 0 0,1 0 0,1-1 0,-1 1 0,0-1 0,0-1 0,1 1 0,-1-1 0,1 0 0,0 0 0,-1 0 0,1-1 0,0 0 0,-1 0 0,1 0 0,0-1 0,-1 0 0,1 0 0,5-2 0,1 0 0,0-1 0,0 0 0,0-1 0,0 0 0,-1-1 0,0 0 0,0-1 0,11-9 0,-17 11 0,-1 1 0,1-1 0,-1 0 0,0 0 0,-1-1 0,1 1 0,-1-1 0,0 0 0,0 0 0,-1 0 0,1 0 0,-1 0 0,-1 0 0,1-1 0,-1 1 0,0-1 0,0-6 0,-1-3 0,-1 0 0,0 1 0,-1-1 0,0 0 0,-9-27 0,11 43 0,0-1 0,0 1 0,0-1 0,0 1 0,0 0 0,0-1 0,0 1 0,0-1 0,0 1 0,-1-1 0,1 1 0,0-1 0,0 1 0,0 0 0,-1-1 0,1 1 0,0-1 0,0 1 0,-1 0 0,1-1 0,0 1 0,-1 0 0,1-1 0,0 1 0,-1 0 0,1 0 0,-1-1 0,0 1 0,-2 13 0,1 25 0,1-5-99,0-12-217,1 0-1,1 0 1,5 34-1,0-36-6509</inkml:trace>
  <inkml:trace contextRef="#ctx0" brushRef="#br0" timeOffset="3202.07">573 1247 24575,'0'4'0,"4"1"0,2 5 0,3 0 0,6-2 0,3-2 0,-1 3 0,-3-1-8191</inkml:trace>
  <inkml:trace contextRef="#ctx0" brushRef="#br0" timeOffset="3655.62">772 1247 24575,'4'0'0</inkml:trace>
  <inkml:trace contextRef="#ctx0" brushRef="#br0" timeOffset="4701.82">971 1122 24575,'1'13'0,"1"1"0,1-1 0,0 0 0,1 0 0,9 20 0,-7-15 0,-5-16 0,-1-1 0,1 1 0,-1 0 0,1-1 0,0 1 0,0-1 0,-1 0 0,1 1 0,0-1 0,0 0 0,1 1 0,1 1 0,-3-3 0,1 0 0,-1 0 0,1 1 0,-1-1 0,0 0 0,1 0 0,-1 0 0,1 0 0,-1 0 0,0 0 0,1 0 0,-1 0 0,0 0 0,1-1 0,-1 1 0,1 0 0,-1 0 0,0 0 0,1 0 0,-1 0 0,0-1 0,1 1 0,-1 0 0,0 0 0,1-1 0,-1 1 0,0 0 0,0 0 0,1-1 0,-1 1 0,0 0 0,1-1 0,2-5 0,0 0 0,0 0 0,0 0 0,2-12 0,-3 12 0,0 0 0,28-72 0,-27 72 0,0 0 0,0 0 0,0 1 0,1-1 0,0 1 0,0 0 0,0 0 0,1 0 0,-1 0 0,8-5 0,-10 10 0,-1-1 0,0 0 0,0 1 0,0-1 0,1 0 0,-1 1 0,0 0 0,1-1 0,-1 1 0,0 0 0,1-1 0,-1 1 0,1 0 0,-1 0 0,0 0 0,1 0 0,-1 1 0,0-1 0,1 0 0,-1 1 0,0-1 0,1 0 0,-1 1 0,0 0 0,1-1 0,-1 1 0,0 0 0,0-1 0,0 1 0,0 0 0,0 0 0,0 0 0,0 0 0,0 0 0,0 0 0,0 0 0,-1 1 0,1-1 0,0 0 0,-1 0 0,1 1 0,-1-1 0,1 0 0,-1 2 0,5 8 0,-2 0 0,0 1 0,4 22 0,-7-30 0,5 32 0,-4-23 0,1 1 0,0-1 0,0 0 0,2 0 0,7 20 0,-11-32 0,0 0 0,1-1 0,-1 1 0,0 0 0,1-1 0,-1 1 0,1 0 0,-1-1 0,1 1 0,-1-1 0,1 1 0,-1-1 0,1 1 0,-1-1 0,1 1 0,0-1 0,-1 0 0,1 1 0,0-1 0,-1 0 0,1 0 0,0 1 0,0-1 0,-1 0 0,1 0 0,0 0 0,0 0 0,-1 0 0,1 0 0,0 0 0,0 0 0,-1 0 0,1 0 0,0-1 0,0 1 0,-1 0 0,1 0 0,0-1 0,-1 1 0,1 0 0,0-1 0,-1 1 0,1-1 0,-1 1 0,1-1 0,0 1 0,-1-1 0,1 1 0,-1-1 0,0 1 0,1-1 0,0-1 0,25-37 0,-24 34 0,84-158 0,-86 162 0,0 1 0,0-1 0,1 0 0,-1 0 0,0 1 0,1-1 0,-1 1 0,1-1 0,-1 0 0,1 1 0,-1-1 0,1 1 0,-1-1 0,1 1 0,0-1 0,-1 1 0,1-1 0,0 1 0,-1 0 0,1-1 0,0 1 0,-1 0 0,1 0 0,0 0 0,0-1 0,-1 1 0,1 0 0,0 0 0,0 0 0,-1 0 0,1 0 0,1 1 0,0 0 0,-1 0 0,1 0 0,-1 0 0,1 0 0,-1 0 0,1 1 0,-1-1 0,0 1 0,0-1 0,0 1 0,0-1 0,2 4 0,4 9 0,-1 1 0,6 21 0,-10-31 0,1 3-107,2 9-312,1 0-1,10 21 1,-5-20-6407</inkml:trace>
  <inkml:trace contextRef="#ctx0" brushRef="#br0" timeOffset="5294.9">1593 1196 24575,'9'0'0,"0"0"0,-1-1 0,1 0 0,-1 0 0,1-1 0,10-3 0,-18 5 0,1-1 0,0 0 0,0 1 0,-1-1 0,1 0 0,-1 0 0,1 0 0,-1 0 0,1 0 0,-1-1 0,0 1 0,0 0 0,1-1 0,-1 1 0,0-1 0,0 1 0,0-1 0,-1 1 0,1-1 0,0 0 0,-1 0 0,1 1 0,-1-1 0,1 0 0,-1 0 0,0 1 0,0-1 0,1 0 0,-1 0 0,-1 0 0,1 0 0,0 1 0,0-1 0,-1 0 0,1 0 0,-2-2 0,2 3 0,0-1 0,0 1 0,-1 0 0,1 0 0,0 0 0,-1 0 0,1 0 0,-1-1 0,1 1 0,-1 0 0,0 0 0,1 0 0,-1 0 0,0 0 0,0 1 0,0-1 0,0 0 0,0 0 0,0 0 0,0 1 0,0-1 0,0 0 0,0 1 0,0-1 0,0 1 0,0 0 0,0-1 0,0 1 0,-1 0 0,1 0 0,0-1 0,0 1 0,0 0 0,-1 0 0,1 0 0,0 0 0,0 1 0,-3-1 0,2 1 0,0 0 0,0 0 0,0 0 0,0 1 0,0-1 0,1 0 0,-1 1 0,0-1 0,1 1 0,-1-1 0,1 1 0,-1 0 0,1 0 0,0 0 0,0 0 0,0 0 0,0 0 0,0 0 0,0 0 0,-1 4 0,0 5 0,0 0 0,0 0 0,1 0 0,0 0 0,1 0 0,0 1 0,3 14 0,-2-22 0,0-1 0,0 1 0,0 0 0,0-1 0,0 1 0,1-1 0,0 0 0,0 0 0,0 1 0,0-1 0,0 0 0,1 0 0,-1-1 0,1 1 0,0-1 0,0 1 0,0-1 0,0 0 0,0 0 0,0 0 0,1 0 0,-1-1 0,0 1 0,1-1 0,3 1 0,7 2-136,-1-2-1,1 0 1,-1 0-1,1-1 1,-1-1-1,1 0 1,0 0-1,-1-2 0,20-4 1,-14 0-6690</inkml:trace>
  <inkml:trace contextRef="#ctx0" brushRef="#br0" timeOffset="6005.87">1867 1296 24575,'66'2'0,"-40"0"0,0-2 0,0 0 0,1-2 0,-1 0 0,31-8 0,-54 9 0,-1 0 0,1 0 0,0 0 0,-1 0 0,1-1 0,-1 1 0,1-1 0,-1 1 0,0-1 0,0 0 0,0 0 0,0 0 0,0 0 0,0 0 0,0-1 0,-1 1 0,1 0 0,-1-1 0,0 1 0,1-1 0,-1 1 0,0-1 0,-1 0 0,1 0 0,0 1 0,-1-1 0,1 0 0,-1 0 0,0 0 0,0 0 0,0 1 0,-1-1 0,1 0 0,-1 0 0,1 0 0,-1 1 0,0-1 0,0 0 0,0 1 0,0-1 0,-1 1 0,1-1 0,-1 1 0,1 0 0,-1-1 0,0 1 0,0 0 0,0 0 0,0 0 0,0 1 0,0-1 0,-1 0 0,1 1 0,-5-3 0,-1 1 0,0 0 0,-1 0 0,0 0 0,1 1 0,-1 0 0,0 1 0,0 0 0,0 1 0,-11 0 0,9 0 0,1 0 0,-1-1 0,0 0 0,0-1 0,-17-5 0,27 7 0,0-1 0,-1 1 0,1-1 0,0 1 0,-1-1 0,1 1 0,0-1 0,-1 0 0,1 0 0,0 1 0,0-1 0,0 0 0,0 0 0,0 0 0,0 0 0,0 0 0,0-1 0,0 1 0,0 0 0,1 0 0,-1-1 0,1 1 0,-1 0 0,0-1 0,1 1 0,0 0 0,-1-1 0,1 1 0,0-1 0,0 1 0,0-1 0,0 1 0,0 0 0,0-1 0,0 1 0,1-1 0,-1 1 0,0-1 0,1-1 0,1 0 0,0-1 0,0 1 0,0 0 0,0 0 0,0 0 0,1 0 0,-1 0 0,1 0 0,0 0 0,0 1 0,0-1 0,0 1 0,6-3 0,129-50-1365,-120 46-5461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9:33:42.2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1 267 24575,'8'0'0,"20"-4"0,14-6 0,33-5 0,43-8 0,21-1 0,18-9 0,20-3 0,-4 1 0,-22 6 0,-32 3 0,-33 7 0,-31 6-8191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9:33:42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0 226 24575,'47'0'0,"44"0"0,46-13 0,58-16 0,26-8 0,-4-7-870,-25 5 870,-42 5 0,-47 12 214,-40 14-214,-31 13 0,-25 5 0,-18 6 0,-7 0-7535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9:33:44.81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0 219 24575,'9'0'0,"10"0"0,8 0 0,6 0 0,3 0 0,-1 0 0,2 0 0,-5-4 0,-4-1 0,-7-1-8191</inkml:trace>
  <inkml:trace contextRef="#ctx0" brushRef="#br0" timeOffset="327.37">25 21 24575,'8'0'0,"8"0"0,9 0 0,4 0 0,3-5 0,-2-1 0,0 1 0,-6 0-8191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9:33:46.45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48 400 24575,'-5'7'0,"1"0"0,1 0 0,0 0 0,0 0 0,0 1 0,1-1 0,0 1 0,0 0 0,0 10 0,-3 8 0,1-10 0,0 0 0,2 0 0,0 1 0,1-1 0,1 1 0,3 30 0,-3-43 0,0-1 0,1 1 0,0 0 0,0 0 0,0-1 0,0 1 0,0 0 0,1-1 0,0 1 0,0-1 0,0 0 0,0 0 0,0 0 0,0 0 0,1 0 0,0 0 0,0 0 0,-1-1 0,1 1 0,1-1 0,-1 0 0,0 0 0,0 0 0,1 0 0,-1-1 0,1 0 0,0 1 0,-1-1 0,1 0 0,0-1 0,0 1 0,0-1 0,-1 1 0,8-2 0,-3 1 0,-1-1 0,0-1 0,-1 1 0,1-1 0,0 0 0,0-1 0,-1 1 0,1-1 0,-1-1 0,0 1 0,0-1 0,0 0 0,0 0 0,-1-1 0,0 0 0,0 0 0,0 0 0,0-1 0,-1 1 0,7-12 0,-5 5 0,1 1 0,-1-2 0,-1 1 0,0-1 0,-1 0 0,-1 0 0,0 0 0,0 0 0,-1-1 0,0-13 0,-3-3 0,0 23 0,-1 19 0,1 23 0,1-1 0,1 1 0,3-1 0,0 0 0,2 0 0,2 0 0,1-1 0,19 47 0,-27-77-124,1 0 0,-1 0 0,1 0 0,-1 0 0,1 0 0,0-1-1,0 1 1,0-1 0,0 1 0,3 1 0,4 0-6702</inkml:trace>
  <inkml:trace contextRef="#ctx0" brushRef="#br0" timeOffset="924.07">596 1 24575,'63'0'0,"71"1"0,-130-1 0,-1 0 0,0 1 0,0-1 0,1 1 0,-1 0 0,0 0 0,0 0 0,0 0 0,0 0 0,0 1 0,0-1 0,0 1 0,-1 0 0,1 0 0,0 0 0,2 3 0,-4-4 0,0 0 0,-1 0 0,1 0 0,0 0 0,-1 1 0,1-1 0,-1 0 0,0 0 0,1 0 0,-1 0 0,0 1 0,0-1 0,0 0 0,1 0 0,-1 0 0,-1 1 0,1-1 0,0 2 0,-1-1 0,0 0 0,1 0 0,-1 1 0,0-1 0,-1 0 0,1 0 0,0 0 0,-1 0 0,1 0 0,-1 0 0,0-1 0,-2 3 0,-4 3 0,-1-1 0,0-1 0,0 0 0,-1 0 0,1 0 0,-1-2 0,0 1 0,-11 2 0,9-3 0,0 1 0,0 1 0,0 0 0,-21 12 0,23-9 0,0 0 0,1 0 0,-1 1 0,-14 19 0,21-25 0,1 0 0,-1 0 0,1 1 0,0-1 0,0 1 0,0-1 0,0 1 0,1 0 0,-1 0 0,1 0 0,0 0 0,0 0 0,1 0 0,-1 0 0,1 0 0,0 0 0,0 0 0,1 8 0,0-10 0,0 0 0,1 0 0,-1 0 0,0 0 0,1 0 0,0-1 0,-1 1 0,1-1 0,0 1 0,0-1 0,0 1 0,0-1 0,0 0 0,0 0 0,0 0 0,0 0 0,1 0 0,-1-1 0,0 1 0,0-1 0,1 1 0,-1-1 0,1 0 0,3 0 0,8 1 0,1-1 0,22-3 0,87-22 0,-113 26-1365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9:35:05.72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24575,'52'15'0,"0"-2"0,57 6 0,-35-6 0,182 27 0,1-10 0,359-6 0,-592-24-97,1 0 154,1-1 1,0-1-1,37-7 0,-57 7-135,1 0-1,-1 0 0,0 0 0,0-1 0,0 1 1,0-2-1,0 1 0,0-1 0,-1 1 0,0-1 0,0-1 1,0 1-1,0-1 0,-1 0 0,1 0 0,-1 0 1,-1-1-1,5-7 0,0-3-6747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showGridLines="0" topLeftCell="A2" workbookViewId="0">
      <selection activeCell="F17" sqref="F17"/>
    </sheetView>
  </sheetViews>
  <sheetFormatPr baseColWidth="10" defaultColWidth="9.109375" defaultRowHeight="14.4" x14ac:dyDescent="0.3"/>
  <cols>
    <col min="5" max="7" width="12" bestFit="1" customWidth="1"/>
  </cols>
  <sheetData>
    <row r="1" spans="1:10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10" x14ac:dyDescent="0.3">
      <c r="A2" s="24"/>
      <c r="B2" s="24"/>
      <c r="C2" s="24"/>
      <c r="D2" s="24"/>
      <c r="E2" s="24"/>
      <c r="F2" s="24"/>
      <c r="G2" s="24"/>
      <c r="H2" s="24"/>
    </row>
    <row r="3" spans="1:10" x14ac:dyDescent="0.3">
      <c r="A3" s="24"/>
      <c r="B3" s="24"/>
      <c r="C3" s="24"/>
      <c r="D3" s="24"/>
      <c r="E3" s="24"/>
      <c r="F3" s="24"/>
      <c r="G3" s="24"/>
      <c r="H3" s="24"/>
    </row>
    <row r="4" spans="1:10" x14ac:dyDescent="0.3">
      <c r="A4" s="24"/>
      <c r="B4" s="24"/>
      <c r="C4" s="24"/>
      <c r="D4" s="24"/>
      <c r="E4" s="24"/>
      <c r="F4" s="24"/>
      <c r="G4" s="24"/>
      <c r="H4" s="24"/>
    </row>
    <row r="5" spans="1:10" x14ac:dyDescent="0.3">
      <c r="A5" s="24"/>
      <c r="B5" s="24"/>
      <c r="C5" s="24"/>
      <c r="D5" s="24"/>
      <c r="E5" s="24"/>
      <c r="F5" s="24"/>
      <c r="G5" s="24"/>
      <c r="H5" s="24"/>
    </row>
    <row r="6" spans="1:10" x14ac:dyDescent="0.3">
      <c r="A6" s="24"/>
      <c r="B6" s="24"/>
      <c r="C6" s="24"/>
      <c r="D6" s="24"/>
      <c r="E6" s="24"/>
      <c r="F6" s="24"/>
      <c r="G6" s="24"/>
      <c r="H6" s="24"/>
    </row>
    <row r="11" spans="1:10" x14ac:dyDescent="0.3">
      <c r="J11" t="s">
        <v>28</v>
      </c>
    </row>
    <row r="12" spans="1:10" x14ac:dyDescent="0.3">
      <c r="C12" s="1"/>
      <c r="D12" s="1"/>
      <c r="E12" s="2"/>
      <c r="F12" s="1"/>
      <c r="G12" s="1"/>
    </row>
    <row r="13" spans="1:10" x14ac:dyDescent="0.3">
      <c r="B13" s="2" t="s">
        <v>1</v>
      </c>
      <c r="C13" s="4">
        <v>1000</v>
      </c>
      <c r="D13" s="1"/>
      <c r="E13" s="2" t="s">
        <v>6</v>
      </c>
      <c r="F13" s="14">
        <v>1</v>
      </c>
      <c r="G13" s="1"/>
    </row>
    <row r="14" spans="1:10" x14ac:dyDescent="0.3">
      <c r="B14" s="2" t="s">
        <v>2</v>
      </c>
      <c r="C14" s="4">
        <v>10000</v>
      </c>
      <c r="D14" s="1"/>
      <c r="E14" s="2" t="s">
        <v>7</v>
      </c>
      <c r="F14" s="11">
        <f>+C14/C19</f>
        <v>14.142135623730949</v>
      </c>
      <c r="G14" s="1"/>
    </row>
    <row r="15" spans="1:10" x14ac:dyDescent="0.3">
      <c r="B15" s="2" t="s">
        <v>3</v>
      </c>
      <c r="C15" s="4">
        <v>0.1</v>
      </c>
      <c r="D15" s="1"/>
      <c r="E15" s="1"/>
      <c r="F15" s="1"/>
      <c r="G15" s="1"/>
    </row>
    <row r="16" spans="1:10" x14ac:dyDescent="0.3">
      <c r="B16" s="2" t="s">
        <v>4</v>
      </c>
      <c r="C16" s="4">
        <v>400</v>
      </c>
      <c r="D16" s="1"/>
      <c r="E16" s="1" t="s">
        <v>8</v>
      </c>
      <c r="F16" s="1" t="s">
        <v>9</v>
      </c>
      <c r="G16" s="1" t="s">
        <v>10</v>
      </c>
    </row>
    <row r="17" spans="2:9" x14ac:dyDescent="0.3">
      <c r="C17" s="1"/>
      <c r="D17" s="1"/>
      <c r="E17" s="10">
        <f>+F13*C19*F14</f>
        <v>10000</v>
      </c>
      <c r="F17" s="15">
        <f>+C13*F14</f>
        <v>14142.13562373095</v>
      </c>
      <c r="G17" s="15">
        <f>0.5*C15*C19*C16</f>
        <v>14142.135623730952</v>
      </c>
      <c r="I17" t="s">
        <v>29</v>
      </c>
    </row>
    <row r="18" spans="2:9" ht="15" thickBot="1" x14ac:dyDescent="0.35">
      <c r="H18" t="s">
        <v>33</v>
      </c>
    </row>
    <row r="19" spans="2:9" ht="15" thickBot="1" x14ac:dyDescent="0.35">
      <c r="B19" s="2" t="s">
        <v>5</v>
      </c>
      <c r="C19" s="18">
        <f>+SQRT((2*C13*C14)/(C15*C16))</f>
        <v>707.10678118654755</v>
      </c>
      <c r="E19" s="2" t="s">
        <v>11</v>
      </c>
      <c r="F19" s="5">
        <f>+E17+F17+G17</f>
        <v>38284.271247461904</v>
      </c>
    </row>
    <row r="20" spans="2:9" x14ac:dyDescent="0.3">
      <c r="C20" s="17">
        <v>708</v>
      </c>
    </row>
    <row r="21" spans="2:9" x14ac:dyDescent="0.3">
      <c r="B21">
        <f>+C19*14</f>
        <v>9899.4949366116653</v>
      </c>
      <c r="D21">
        <f>+C19*15</f>
        <v>10606.601717798214</v>
      </c>
    </row>
  </sheetData>
  <mergeCells count="1">
    <mergeCell ref="A1:H6"/>
  </mergeCells>
  <pageMargins left="0.7" right="0.7" top="0.75" bottom="0.75" header="0.3" footer="0.3"/>
  <headerFooter>
    <oddHeader>&amp;R&amp;"Calibri"&amp;10&amp;K000000 Documento: Personal&amp;1#_x000D_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851E-13EF-46E0-B634-4D13D52E5D9A}">
  <dimension ref="A3:K28"/>
  <sheetViews>
    <sheetView showGridLines="0" topLeftCell="A7" zoomScaleNormal="100" workbookViewId="0">
      <selection activeCell="L16" sqref="L16"/>
    </sheetView>
  </sheetViews>
  <sheetFormatPr baseColWidth="10" defaultRowHeight="14.4" x14ac:dyDescent="0.3"/>
  <cols>
    <col min="6" max="7" width="13.6640625" bestFit="1" customWidth="1"/>
  </cols>
  <sheetData>
    <row r="3" spans="1:11" x14ac:dyDescent="0.3">
      <c r="A3" s="16" t="s">
        <v>24</v>
      </c>
    </row>
    <row r="4" spans="1:11" x14ac:dyDescent="0.3">
      <c r="A4" s="16">
        <f>1*0.2</f>
        <v>0.2</v>
      </c>
    </row>
    <row r="5" spans="1:11" x14ac:dyDescent="0.3">
      <c r="A5" s="16">
        <f>0.98*0.2</f>
        <v>0.19600000000000001</v>
      </c>
    </row>
    <row r="6" spans="1:11" x14ac:dyDescent="0.3">
      <c r="A6" s="16">
        <f>0.96*0.2</f>
        <v>0.192</v>
      </c>
    </row>
    <row r="7" spans="1:11" x14ac:dyDescent="0.3">
      <c r="A7" s="16">
        <f>0.94*0.2</f>
        <v>0.188</v>
      </c>
    </row>
    <row r="11" spans="1:11" x14ac:dyDescent="0.3">
      <c r="K11" t="s">
        <v>31</v>
      </c>
    </row>
    <row r="12" spans="1:11" x14ac:dyDescent="0.3">
      <c r="K12" t="s">
        <v>30</v>
      </c>
    </row>
    <row r="13" spans="1:11" x14ac:dyDescent="0.3">
      <c r="K13" t="s">
        <v>32</v>
      </c>
    </row>
    <row r="17" spans="1:7" x14ac:dyDescent="0.3">
      <c r="B17" s="19" t="s">
        <v>18</v>
      </c>
      <c r="C17" s="20">
        <f>0.1*12</f>
        <v>1.2000000000000002</v>
      </c>
      <c r="D17" s="21" t="s">
        <v>34</v>
      </c>
      <c r="E17" s="21"/>
      <c r="F17" s="22" t="s">
        <v>35</v>
      </c>
    </row>
    <row r="22" spans="1:7" x14ac:dyDescent="0.3">
      <c r="C22" s="1" t="s">
        <v>16</v>
      </c>
      <c r="D22" s="1" t="s">
        <v>5</v>
      </c>
      <c r="E22" s="1" t="s">
        <v>17</v>
      </c>
      <c r="F22" s="1" t="s">
        <v>7</v>
      </c>
      <c r="G22" s="1" t="s">
        <v>11</v>
      </c>
    </row>
    <row r="23" spans="1:7" x14ac:dyDescent="0.3">
      <c r="A23" s="2" t="s">
        <v>12</v>
      </c>
      <c r="B23" s="3">
        <f>+$C$17+A4</f>
        <v>1.4000000000000001</v>
      </c>
      <c r="C23" s="4">
        <v>1</v>
      </c>
      <c r="D23" s="11">
        <f>+SQRT((2*80*300000)/(B23))</f>
        <v>5855.4004376911989</v>
      </c>
      <c r="E23" s="12">
        <v>5856</v>
      </c>
      <c r="F23" s="12">
        <f>300000/E23</f>
        <v>51.229508196721312</v>
      </c>
      <c r="G23" s="6">
        <f>+(C23*E23*F23)+(80*F23)+(0.5*B23*E23)</f>
        <v>308197.5606557377</v>
      </c>
    </row>
    <row r="24" spans="1:7" x14ac:dyDescent="0.3">
      <c r="A24" s="2" t="s">
        <v>13</v>
      </c>
      <c r="B24" s="3">
        <f>+$C$17+A5</f>
        <v>1.3960000000000001</v>
      </c>
      <c r="C24" s="4">
        <v>0.98</v>
      </c>
      <c r="D24" s="11">
        <f>+SQRT((2*80*300000)/(B24))</f>
        <v>5863.7832629393615</v>
      </c>
      <c r="E24" s="4">
        <v>10000</v>
      </c>
      <c r="F24" s="12">
        <f>300000/E24</f>
        <v>30</v>
      </c>
      <c r="G24" s="13">
        <f>+(C24*E24*F24)+(80*F24)+(0.5*B24*E24)</f>
        <v>303380</v>
      </c>
    </row>
    <row r="25" spans="1:7" x14ac:dyDescent="0.3">
      <c r="A25" s="2" t="s">
        <v>14</v>
      </c>
      <c r="B25" s="3">
        <f>+$C$17+A6</f>
        <v>1.3920000000000001</v>
      </c>
      <c r="C25" s="4">
        <v>0.96</v>
      </c>
      <c r="D25" s="11">
        <f t="shared" ref="D25:D26" si="0">+SQRT((2*80*300000)/(B25))</f>
        <v>5872.2021951470351</v>
      </c>
      <c r="E25" s="4">
        <v>30000</v>
      </c>
      <c r="F25" s="12">
        <f t="shared" ref="F25:F26" si="1">300000/E25</f>
        <v>10</v>
      </c>
      <c r="G25" s="6">
        <f>+(C25*E25*F25)+(80*F25)+(0.5*B25*E25)</f>
        <v>309680</v>
      </c>
    </row>
    <row r="26" spans="1:7" x14ac:dyDescent="0.3">
      <c r="A26" s="2" t="s">
        <v>15</v>
      </c>
      <c r="B26" s="3">
        <f>+$C$17+A7</f>
        <v>1.3880000000000001</v>
      </c>
      <c r="C26" s="4">
        <v>0.94</v>
      </c>
      <c r="D26" s="11">
        <f t="shared" si="0"/>
        <v>5880.6574942638426</v>
      </c>
      <c r="E26" s="4">
        <v>50000</v>
      </c>
      <c r="F26" s="12">
        <f t="shared" si="1"/>
        <v>6</v>
      </c>
      <c r="G26" s="6">
        <f>+(C26*E26*F26)+(80*F26)+(0.5*B26*E26)</f>
        <v>317180</v>
      </c>
    </row>
    <row r="28" spans="1:7" x14ac:dyDescent="0.3">
      <c r="C28" t="s">
        <v>36</v>
      </c>
    </row>
  </sheetData>
  <pageMargins left="0.7" right="0.7" top="0.75" bottom="0.75" header="0.3" footer="0.3"/>
  <headerFooter>
    <oddHeader>&amp;R&amp;"Calibri"&amp;10&amp;K000000 Documento: Personal&amp;1#_x000D_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1CC49-A648-45E6-95E7-6FB3DE40B8CE}">
  <dimension ref="B2:J30"/>
  <sheetViews>
    <sheetView showGridLines="0" tabSelected="1" zoomScale="85" zoomScaleNormal="85" workbookViewId="0">
      <selection activeCell="G29" sqref="G29"/>
    </sheetView>
  </sheetViews>
  <sheetFormatPr baseColWidth="10" defaultRowHeight="14.4" x14ac:dyDescent="0.3"/>
  <sheetData>
    <row r="2" spans="2:10" x14ac:dyDescent="0.3">
      <c r="H2" t="s">
        <v>38</v>
      </c>
    </row>
    <row r="4" spans="2:10" x14ac:dyDescent="0.3">
      <c r="H4" s="16" t="s">
        <v>37</v>
      </c>
      <c r="I4" s="16"/>
      <c r="J4" s="16"/>
    </row>
    <row r="5" spans="2:10" x14ac:dyDescent="0.3">
      <c r="H5" s="1" t="s">
        <v>25</v>
      </c>
      <c r="I5" s="1" t="s">
        <v>26</v>
      </c>
    </row>
    <row r="6" spans="2:10" x14ac:dyDescent="0.3">
      <c r="H6" s="4">
        <f>3*0.01</f>
        <v>0.03</v>
      </c>
      <c r="I6" s="4">
        <f>5*0.01</f>
        <v>0.05</v>
      </c>
    </row>
    <row r="9" spans="2:10" x14ac:dyDescent="0.3">
      <c r="F9" s="1" t="s">
        <v>20</v>
      </c>
      <c r="G9" s="1" t="s">
        <v>21</v>
      </c>
    </row>
    <row r="10" spans="2:10" ht="15.6" x14ac:dyDescent="0.3">
      <c r="B10" s="7" t="s">
        <v>19</v>
      </c>
      <c r="F10" s="11">
        <f>+SQRT((2*300*2000)/H6*1)</f>
        <v>6324.555320336759</v>
      </c>
      <c r="G10" s="11">
        <f>+SQRT((2*1000*3000)/I6*1)</f>
        <v>10954.451150103323</v>
      </c>
      <c r="I10" t="s">
        <v>39</v>
      </c>
    </row>
    <row r="13" spans="2:10" x14ac:dyDescent="0.3">
      <c r="F13" s="25">
        <f>+(F10*0.2)+(G10*0.1)</f>
        <v>2360.3561790776839</v>
      </c>
      <c r="G13" s="26"/>
    </row>
    <row r="15" spans="2:10" x14ac:dyDescent="0.3">
      <c r="B15" t="s">
        <v>27</v>
      </c>
    </row>
    <row r="18" spans="2:7" ht="15.6" x14ac:dyDescent="0.3">
      <c r="B18" s="8" t="s">
        <v>22</v>
      </c>
      <c r="C18" s="9" t="s">
        <v>20</v>
      </c>
      <c r="D18" s="9" t="s">
        <v>21</v>
      </c>
      <c r="E18" s="9" t="s">
        <v>23</v>
      </c>
    </row>
    <row r="19" spans="2:7" x14ac:dyDescent="0.3">
      <c r="B19" s="4">
        <v>0</v>
      </c>
      <c r="C19" s="11">
        <f>+SQRT((2*300*2000)/($H$6-(2*B19*0.2)))</f>
        <v>6324.555320336759</v>
      </c>
      <c r="D19" s="11">
        <f t="shared" ref="D19:D30" si="0">+SQRT((2*1000*3000)/($I$6-(2*B19*0.1)))</f>
        <v>10954.451150103323</v>
      </c>
      <c r="E19" s="4">
        <f t="shared" ref="E19:E30" si="1">+(C19*0.2)+(D19*0.1)</f>
        <v>2360.3561790776839</v>
      </c>
    </row>
    <row r="20" spans="2:7" x14ac:dyDescent="0.3">
      <c r="B20" s="4">
        <v>10</v>
      </c>
      <c r="C20" s="11" t="e">
        <f>+SQRT((2*300*2000)/($H$6-(2*B20*0.2)))</f>
        <v>#NUM!</v>
      </c>
      <c r="D20" s="11" t="e">
        <f t="shared" si="0"/>
        <v>#NUM!</v>
      </c>
      <c r="E20" s="4" t="e">
        <f t="shared" si="1"/>
        <v>#NUM!</v>
      </c>
    </row>
    <row r="21" spans="2:7" x14ac:dyDescent="0.3">
      <c r="B21" s="4">
        <v>-10</v>
      </c>
      <c r="C21" s="11">
        <f t="shared" ref="C19:C30" si="2">+SQRT((2*300*2000)/($H$6-(2*B21*0.2)))</f>
        <v>545.68007969840039</v>
      </c>
      <c r="D21" s="11">
        <f t="shared" si="0"/>
        <v>1710.7978455366033</v>
      </c>
      <c r="E21" s="4">
        <f>+(C21*0.2)+(D21*0.1)</f>
        <v>280.21580049334045</v>
      </c>
    </row>
    <row r="22" spans="2:7" x14ac:dyDescent="0.3">
      <c r="B22" s="4">
        <v>-3</v>
      </c>
      <c r="C22" s="11">
        <f t="shared" si="2"/>
        <v>987.72959664958955</v>
      </c>
      <c r="D22" s="11">
        <f t="shared" si="0"/>
        <v>3038.2181012509996</v>
      </c>
      <c r="E22" s="4">
        <f t="shared" si="1"/>
        <v>501.36772945501787</v>
      </c>
    </row>
    <row r="23" spans="2:7" x14ac:dyDescent="0.3">
      <c r="B23" s="4">
        <v>-0.5</v>
      </c>
      <c r="C23" s="11">
        <f t="shared" si="2"/>
        <v>2284.1609628806432</v>
      </c>
      <c r="D23" s="11">
        <f t="shared" si="0"/>
        <v>6324.5553203367581</v>
      </c>
      <c r="E23" s="4">
        <f t="shared" si="1"/>
        <v>1089.2877246098044</v>
      </c>
    </row>
    <row r="24" spans="2:7" x14ac:dyDescent="0.3">
      <c r="B24" s="4">
        <v>-0.2</v>
      </c>
      <c r="C24" s="11">
        <f t="shared" si="2"/>
        <v>3302.8912953790818</v>
      </c>
      <c r="D24" s="11">
        <f t="shared" si="0"/>
        <v>8164.9658092772597</v>
      </c>
      <c r="E24" s="4">
        <f t="shared" si="1"/>
        <v>1477.0748400035422</v>
      </c>
    </row>
    <row r="25" spans="2:7" x14ac:dyDescent="0.3">
      <c r="B25" s="4">
        <v>-0.01</v>
      </c>
      <c r="C25" s="11">
        <f t="shared" si="2"/>
        <v>5940.8852578600454</v>
      </c>
      <c r="D25" s="11">
        <f t="shared" si="0"/>
        <v>10741.723110591493</v>
      </c>
      <c r="E25" s="4">
        <f t="shared" si="1"/>
        <v>2262.3493626311583</v>
      </c>
    </row>
    <row r="26" spans="2:7" x14ac:dyDescent="0.3">
      <c r="B26" s="4">
        <v>-0.04</v>
      </c>
      <c r="C26" s="11">
        <f t="shared" si="2"/>
        <v>5107.5391845524919</v>
      </c>
      <c r="D26" s="11">
        <f t="shared" si="0"/>
        <v>10170.952554312156</v>
      </c>
      <c r="E26" s="4">
        <f t="shared" si="1"/>
        <v>2038.6030923417143</v>
      </c>
    </row>
    <row r="27" spans="2:7" x14ac:dyDescent="0.3">
      <c r="B27" s="4">
        <v>-0.05</v>
      </c>
      <c r="C27" s="11">
        <f t="shared" si="2"/>
        <v>4898.9794855663558</v>
      </c>
      <c r="D27" s="11">
        <f t="shared" si="0"/>
        <v>10000</v>
      </c>
      <c r="E27" s="4">
        <f t="shared" si="1"/>
        <v>1979.7958971132712</v>
      </c>
    </row>
    <row r="28" spans="2:7" x14ac:dyDescent="0.3">
      <c r="B28" s="4">
        <v>-4.4999999999999998E-2</v>
      </c>
      <c r="C28" s="4">
        <f t="shared" si="2"/>
        <v>5000</v>
      </c>
      <c r="D28" s="4">
        <f t="shared" si="0"/>
        <v>10084.389681792214</v>
      </c>
      <c r="E28" s="4">
        <f t="shared" si="1"/>
        <v>2008.4389681792213</v>
      </c>
    </row>
    <row r="29" spans="2:7" x14ac:dyDescent="0.3">
      <c r="B29" s="28">
        <v>-4.65E-2</v>
      </c>
      <c r="C29" s="28">
        <f t="shared" si="2"/>
        <v>4969.0399499995319</v>
      </c>
      <c r="D29" s="28">
        <f t="shared" si="0"/>
        <v>10058.848763579588</v>
      </c>
      <c r="E29" s="28">
        <f t="shared" si="1"/>
        <v>1999.6928663578653</v>
      </c>
    </row>
    <row r="30" spans="2:7" x14ac:dyDescent="0.3">
      <c r="B30" s="27">
        <v>-4.6446899999999999E-2</v>
      </c>
      <c r="C30" s="27">
        <f t="shared" si="2"/>
        <v>4970.1261332875793</v>
      </c>
      <c r="D30" s="27">
        <f t="shared" si="0"/>
        <v>10059.749601053656</v>
      </c>
      <c r="E30" s="27">
        <f t="shared" si="1"/>
        <v>2000.0001867628816</v>
      </c>
      <c r="G30" t="s">
        <v>40</v>
      </c>
    </row>
  </sheetData>
  <mergeCells count="1">
    <mergeCell ref="F13:G13"/>
  </mergeCells>
  <pageMargins left="0.7" right="0.7" top="0.75" bottom="0.75" header="0.3" footer="0.3"/>
  <headerFooter>
    <oddHeader>&amp;R&amp;"Calibri"&amp;10&amp;K000000 Documento: Personal&amp;1#_x000D_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EOQ</vt:lpstr>
      <vt:lpstr>Precio</vt:lpstr>
      <vt:lpstr>Volumen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Benevenia</dc:creator>
  <cp:lastModifiedBy>Uriel Villalonga</cp:lastModifiedBy>
  <dcterms:created xsi:type="dcterms:W3CDTF">2015-06-05T18:19:34Z</dcterms:created>
  <dcterms:modified xsi:type="dcterms:W3CDTF">2025-09-12T19:47:05Z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8ef38c-4357-49c8-b2ae-c9cdaf411188_Enabled">
    <vt:lpwstr>true</vt:lpwstr>
  </property>
  <property fmtid="{D5CDD505-2E9C-101B-9397-08002B2CF9AE}" pid="3" name="MSIP_Label_228ef38c-4357-49c8-b2ae-c9cdaf411188_SetDate">
    <vt:lpwstr>2024-10-19T11:40:11Z</vt:lpwstr>
  </property>
  <property fmtid="{D5CDD505-2E9C-101B-9397-08002B2CF9AE}" pid="4" name="MSIP_Label_228ef38c-4357-49c8-b2ae-c9cdaf411188_Method">
    <vt:lpwstr>Privileged</vt:lpwstr>
  </property>
  <property fmtid="{D5CDD505-2E9C-101B-9397-08002B2CF9AE}" pid="5" name="MSIP_Label_228ef38c-4357-49c8-b2ae-c9cdaf411188_Name">
    <vt:lpwstr>Personal</vt:lpwstr>
  </property>
  <property fmtid="{D5CDD505-2E9C-101B-9397-08002B2CF9AE}" pid="6" name="MSIP_Label_228ef38c-4357-49c8-b2ae-c9cdaf411188_SiteId">
    <vt:lpwstr>038018c3-616c-4b46-ad9b-aa9007f701b5</vt:lpwstr>
  </property>
  <property fmtid="{D5CDD505-2E9C-101B-9397-08002B2CF9AE}" pid="7" name="MSIP_Label_228ef38c-4357-49c8-b2ae-c9cdaf411188_ActionId">
    <vt:lpwstr>30ba6043-05cd-4aa7-8ecf-20706d187b25</vt:lpwstr>
  </property>
  <property fmtid="{D5CDD505-2E9C-101B-9397-08002B2CF9AE}" pid="8" name="MSIP_Label_228ef38c-4357-49c8-b2ae-c9cdaf411188_ContentBits">
    <vt:lpwstr>1</vt:lpwstr>
  </property>
</Properties>
</file>