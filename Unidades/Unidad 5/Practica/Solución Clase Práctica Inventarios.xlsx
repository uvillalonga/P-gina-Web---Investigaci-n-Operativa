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ore\Documents\Flor\Investigación Operativa\2025\Práctica\"/>
    </mc:Choice>
  </mc:AlternateContent>
  <xr:revisionPtr revIDLastSave="0" documentId="13_ncr:1_{845C02AB-0F1D-4492-9451-A0ED27727012}" xr6:coauthVersionLast="47" xr6:coauthVersionMax="47" xr10:uidLastSave="{00000000-0000-0000-0000-000000000000}"/>
  <bookViews>
    <workbookView xWindow="-108" yWindow="-108" windowWidth="23256" windowHeight="13896" xr2:uid="{72287C7F-9A06-4348-8D8C-6B4DB6D3A49B}"/>
  </bookViews>
  <sheets>
    <sheet name="Ej 1" sheetId="2" r:id="rId1"/>
    <sheet name="Ej 2" sheetId="1" r:id="rId2"/>
    <sheet name="Ej 3" sheetId="3" r:id="rId3"/>
    <sheet name="Ej 4" sheetId="4" r:id="rId4"/>
    <sheet name="Ej 5" sheetId="5" r:id="rId5"/>
    <sheet name="Ej 6" sheetId="6" r:id="rId6"/>
    <sheet name="Ej 7" sheetId="7" r:id="rId7"/>
    <sheet name="Ej 8" sheetId="9" r:id="rId8"/>
    <sheet name="Ej 9" sheetId="11" r:id="rId9"/>
  </sheets>
  <externalReferences>
    <externalReference r:id="rId10"/>
  </externalReferences>
  <definedNames>
    <definedName name="probabilidad">[1]Aleatorios!$Q$3:$R$102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0" i="11" l="1"/>
  <c r="F62" i="11"/>
  <c r="F61" i="11"/>
  <c r="F60" i="11"/>
  <c r="F64" i="11" s="1"/>
  <c r="G46" i="11"/>
  <c r="D20" i="11"/>
  <c r="G39" i="11" s="1"/>
  <c r="G32" i="11" l="1"/>
  <c r="E34" i="9"/>
  <c r="D34" i="9"/>
  <c r="C34" i="9"/>
  <c r="E33" i="9"/>
  <c r="D33" i="9"/>
  <c r="C33" i="9"/>
  <c r="E32" i="9"/>
  <c r="D32" i="9"/>
  <c r="C32" i="9"/>
  <c r="E31" i="9"/>
  <c r="D31" i="9"/>
  <c r="C31" i="9"/>
  <c r="E30" i="9"/>
  <c r="D30" i="9"/>
  <c r="C30" i="9"/>
  <c r="E29" i="9"/>
  <c r="D29" i="9"/>
  <c r="C29" i="9"/>
  <c r="E28" i="9"/>
  <c r="D28" i="9"/>
  <c r="C28" i="9"/>
  <c r="E27" i="9"/>
  <c r="D27" i="9"/>
  <c r="C27" i="9"/>
  <c r="E26" i="9"/>
  <c r="D26" i="9"/>
  <c r="C26" i="9"/>
  <c r="F26" i="9" s="1"/>
  <c r="E25" i="9"/>
  <c r="D25" i="9"/>
  <c r="C25" i="9"/>
  <c r="F25" i="9" s="1"/>
  <c r="E24" i="9"/>
  <c r="D24" i="9"/>
  <c r="C24" i="9"/>
  <c r="F24" i="9" s="1"/>
  <c r="E23" i="9"/>
  <c r="D23" i="9"/>
  <c r="C23" i="9"/>
  <c r="F23" i="9" s="1"/>
  <c r="E22" i="9"/>
  <c r="D22" i="9"/>
  <c r="C22" i="9"/>
  <c r="F22" i="9" s="1"/>
  <c r="F21" i="9"/>
  <c r="E21" i="9"/>
  <c r="D21" i="9"/>
  <c r="C21" i="9"/>
  <c r="H12" i="9"/>
  <c r="G12" i="9"/>
  <c r="F12" i="9"/>
  <c r="I28" i="7"/>
  <c r="I27" i="7"/>
  <c r="I26" i="7"/>
  <c r="I22" i="7"/>
  <c r="L22" i="7" s="1"/>
  <c r="I21" i="7"/>
  <c r="I20" i="7"/>
  <c r="L20" i="7" s="1"/>
  <c r="C11" i="6"/>
  <c r="G26" i="7"/>
  <c r="J28" i="7"/>
  <c r="F28" i="7"/>
  <c r="K28" i="7" s="1"/>
  <c r="J27" i="7"/>
  <c r="F27" i="7"/>
  <c r="K27" i="7" s="1"/>
  <c r="F26" i="7"/>
  <c r="J21" i="7"/>
  <c r="K21" i="7"/>
  <c r="L21" i="7"/>
  <c r="K22" i="7"/>
  <c r="K20" i="7"/>
  <c r="J22" i="7"/>
  <c r="J20" i="7"/>
  <c r="H20" i="7"/>
  <c r="G22" i="7"/>
  <c r="G21" i="7"/>
  <c r="G20" i="7"/>
  <c r="F22" i="7"/>
  <c r="F21" i="7"/>
  <c r="F20" i="7"/>
  <c r="G15" i="6"/>
  <c r="G13" i="6"/>
  <c r="G7" i="6"/>
  <c r="G12" i="6"/>
  <c r="C24" i="6"/>
  <c r="G11" i="6"/>
  <c r="G6" i="6"/>
  <c r="C23" i="6"/>
  <c r="B21" i="6"/>
  <c r="C6" i="3"/>
  <c r="K5" i="3"/>
  <c r="C5" i="3"/>
  <c r="E28" i="5"/>
  <c r="D28" i="5"/>
  <c r="C28" i="5"/>
  <c r="D27" i="5"/>
  <c r="C27" i="5"/>
  <c r="E27" i="5" s="1"/>
  <c r="D26" i="5"/>
  <c r="C26" i="5"/>
  <c r="E26" i="5" s="1"/>
  <c r="E25" i="5"/>
  <c r="D25" i="5"/>
  <c r="C25" i="5"/>
  <c r="D24" i="5"/>
  <c r="E24" i="5" s="1"/>
  <c r="C24" i="5"/>
  <c r="E23" i="5"/>
  <c r="D23" i="5"/>
  <c r="C23" i="5"/>
  <c r="E22" i="5"/>
  <c r="D22" i="5"/>
  <c r="C22" i="5"/>
  <c r="F16" i="5"/>
  <c r="G13" i="5"/>
  <c r="F13" i="5"/>
  <c r="F34" i="9" l="1"/>
  <c r="F33" i="9"/>
  <c r="F32" i="9"/>
  <c r="F31" i="9"/>
  <c r="F30" i="9"/>
  <c r="F29" i="9"/>
  <c r="F28" i="9"/>
  <c r="F27" i="9"/>
  <c r="F15" i="9"/>
  <c r="L27" i="7"/>
  <c r="L28" i="7"/>
  <c r="G27" i="7"/>
  <c r="H26" i="7"/>
  <c r="G28" i="7"/>
  <c r="B2" i="4"/>
  <c r="J26" i="7" l="1"/>
  <c r="K26" i="7"/>
  <c r="D2" i="4"/>
  <c r="D11" i="4" s="1"/>
  <c r="D14" i="4" s="1"/>
  <c r="D15" i="4" s="1"/>
  <c r="B9" i="4"/>
  <c r="K14" i="3"/>
  <c r="H14" i="3"/>
  <c r="M14" i="3"/>
  <c r="M4" i="3"/>
  <c r="M13" i="3"/>
  <c r="M12" i="3"/>
  <c r="K10" i="3"/>
  <c r="D7" i="3" s="1"/>
  <c r="D6" i="3" s="1"/>
  <c r="I10" i="3"/>
  <c r="J9" i="3"/>
  <c r="J8" i="3"/>
  <c r="J7" i="3"/>
  <c r="I8" i="3"/>
  <c r="I7" i="3"/>
  <c r="H7" i="3"/>
  <c r="M3" i="3"/>
  <c r="M2" i="3"/>
  <c r="H4" i="3"/>
  <c r="D14" i="3"/>
  <c r="D13" i="3"/>
  <c r="C12" i="3"/>
  <c r="D11" i="3"/>
  <c r="D10" i="3"/>
  <c r="D8" i="3"/>
  <c r="D4" i="3"/>
  <c r="D3" i="3"/>
  <c r="C29" i="2"/>
  <c r="D22" i="2"/>
  <c r="C26" i="2" s="1"/>
  <c r="C7" i="1"/>
  <c r="C6" i="1"/>
  <c r="G6" i="1" s="1"/>
  <c r="C5" i="1"/>
  <c r="G5" i="1" s="1"/>
  <c r="I5" i="1" s="1"/>
  <c r="C4" i="1"/>
  <c r="G4" i="1" s="1"/>
  <c r="F7" i="1"/>
  <c r="H7" i="1" s="1"/>
  <c r="F6" i="1"/>
  <c r="H6" i="1" s="1"/>
  <c r="F5" i="1"/>
  <c r="F4" i="1"/>
  <c r="I19" i="1"/>
  <c r="F17" i="1"/>
  <c r="H5" i="1"/>
  <c r="H3" i="1"/>
  <c r="G3" i="1"/>
  <c r="I3" i="1" s="1"/>
  <c r="L26" i="7" l="1"/>
  <c r="B11" i="4"/>
  <c r="B14" i="4" s="1"/>
  <c r="B15" i="4" s="1"/>
  <c r="M7" i="3"/>
  <c r="M8" i="3"/>
  <c r="D12" i="3"/>
  <c r="D5" i="3"/>
  <c r="G7" i="1"/>
  <c r="I7" i="1" s="1"/>
  <c r="I6" i="1"/>
  <c r="H4" i="1"/>
  <c r="I4" i="1" s="1"/>
</calcChain>
</file>

<file path=xl/sharedStrings.xml><?xml version="1.0" encoding="utf-8"?>
<sst xmlns="http://schemas.openxmlformats.org/spreadsheetml/2006/main" count="250" uniqueCount="164">
  <si>
    <t xml:space="preserve">Período </t>
  </si>
  <si>
    <t>Q</t>
  </si>
  <si>
    <t>c1</t>
  </si>
  <si>
    <t>k</t>
  </si>
  <si>
    <t>n</t>
  </si>
  <si>
    <t>Calm</t>
  </si>
  <si>
    <t>Creo</t>
  </si>
  <si>
    <t>CTst</t>
  </si>
  <si>
    <t>Lote Económico</t>
  </si>
  <si>
    <t>1/2*Q*c1=k*n</t>
  </si>
  <si>
    <r>
      <t xml:space="preserve">Qec = </t>
    </r>
    <r>
      <rPr>
        <u/>
        <sz val="11"/>
        <color theme="1"/>
        <rFont val="Aptos Narrow"/>
        <family val="2"/>
        <scheme val="minor"/>
      </rPr>
      <t>2 * Creord</t>
    </r>
  </si>
  <si>
    <r>
      <t xml:space="preserve">Qec = </t>
    </r>
    <r>
      <rPr>
        <u/>
        <sz val="11"/>
        <color theme="1"/>
        <rFont val="Aptos Narrow"/>
        <family val="2"/>
        <scheme val="minor"/>
      </rPr>
      <t>2 * 1500</t>
    </r>
  </si>
  <si>
    <t>Qe = 150</t>
  </si>
  <si>
    <t xml:space="preserve">               c1</t>
  </si>
  <si>
    <t>Creord = k * ne</t>
  </si>
  <si>
    <t>ne = D/Qe</t>
  </si>
  <si>
    <t>ne = 1200 / 150</t>
  </si>
  <si>
    <t>ne = 8</t>
  </si>
  <si>
    <t>k = Creord/ne</t>
  </si>
  <si>
    <t>k = 1500/8</t>
  </si>
  <si>
    <t xml:space="preserve">k = </t>
  </si>
  <si>
    <r>
      <t>Qe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= </t>
    </r>
    <r>
      <rPr>
        <u/>
        <sz val="11"/>
        <color theme="1"/>
        <rFont val="Aptos Narrow"/>
        <family val="2"/>
        <scheme val="minor"/>
      </rPr>
      <t>2 * k * D</t>
    </r>
  </si>
  <si>
    <r>
      <t>150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= </t>
    </r>
    <r>
      <rPr>
        <u/>
        <sz val="11"/>
        <color theme="1"/>
        <rFont val="Aptos Narrow"/>
        <family val="2"/>
        <scheme val="minor"/>
      </rPr>
      <t>2 * k * 1200</t>
    </r>
  </si>
  <si>
    <r>
      <t xml:space="preserve">k = </t>
    </r>
    <r>
      <rPr>
        <u/>
        <sz val="11"/>
        <color theme="1"/>
        <rFont val="Aptos Narrow"/>
        <family val="2"/>
        <scheme val="minor"/>
      </rPr>
      <t>22500 * 20</t>
    </r>
  </si>
  <si>
    <t>k =</t>
  </si>
  <si>
    <t xml:space="preserve">              b * P</t>
  </si>
  <si>
    <t>C($)</t>
  </si>
  <si>
    <t>CTS</t>
  </si>
  <si>
    <t xml:space="preserve"> </t>
  </si>
  <si>
    <t>CTSmin.</t>
  </si>
  <si>
    <t>Cadq</t>
  </si>
  <si>
    <t>Q(Un.)</t>
  </si>
  <si>
    <t>Qe</t>
  </si>
  <si>
    <t>Calculo Qe</t>
  </si>
  <si>
    <t>Costo orden: kn</t>
  </si>
  <si>
    <t>calculo k</t>
  </si>
  <si>
    <t>calculo n</t>
  </si>
  <si>
    <t>n=D/q</t>
  </si>
  <si>
    <t>Ant.</t>
  </si>
  <si>
    <t>Actual</t>
  </si>
  <si>
    <t>a.-</t>
  </si>
  <si>
    <t>CTE = Ccom + Cadq + Calm</t>
  </si>
  <si>
    <t>k*D/qo = 1/2*qo*C1*T</t>
  </si>
  <si>
    <t>Ccom</t>
  </si>
  <si>
    <t>D</t>
  </si>
  <si>
    <t>CTE = b*D + k*n + 1/2*q0*C1*T</t>
  </si>
  <si>
    <t>qo = ((k*2*D)/(C1*T))1/2</t>
  </si>
  <si>
    <t>b</t>
  </si>
  <si>
    <t>CTE Ant =</t>
  </si>
  <si>
    <t>k = q0*q0*C1*T/(2*D)</t>
  </si>
  <si>
    <t>b.-</t>
  </si>
  <si>
    <t>qoAct = ((k*2*D)/(C1*T))1/2</t>
  </si>
  <si>
    <t>Qo</t>
  </si>
  <si>
    <t>QoAct =</t>
  </si>
  <si>
    <t>CTE Act =</t>
  </si>
  <si>
    <t>C1</t>
  </si>
  <si>
    <t>T</t>
  </si>
  <si>
    <t>Ss =</t>
  </si>
  <si>
    <t>VRAlm</t>
  </si>
  <si>
    <t>VMaxQoAct =</t>
  </si>
  <si>
    <t>VRAlm - VSs =</t>
  </si>
  <si>
    <t>VPTx36</t>
  </si>
  <si>
    <t>VPTAlm</t>
  </si>
  <si>
    <t>c.-</t>
  </si>
  <si>
    <t>CTEAct = Ccom + Cadq + Calm</t>
  </si>
  <si>
    <t>Ss un</t>
  </si>
  <si>
    <t>CTEAct = b*D + k*n + 1/2*Qo*C1*T</t>
  </si>
  <si>
    <t>VSs</t>
  </si>
  <si>
    <t>CTEAct =</t>
  </si>
  <si>
    <t>Var%=</t>
  </si>
  <si>
    <t>kg/dia</t>
  </si>
  <si>
    <t>$/kg</t>
  </si>
  <si>
    <t>1-999kg</t>
  </si>
  <si>
    <t>1000 o +</t>
  </si>
  <si>
    <t>qo</t>
  </si>
  <si>
    <t>CTE</t>
  </si>
  <si>
    <t>QA</t>
  </si>
  <si>
    <t>QB</t>
  </si>
  <si>
    <t>Supongamos λ=0</t>
  </si>
  <si>
    <t>λ</t>
  </si>
  <si>
    <t>S.total</t>
  </si>
  <si>
    <t>Superficie disponible = 90 m2</t>
  </si>
  <si>
    <t>Una empresa de productos de computación que trabaja actualmente con la política de lote óptimo de compra adquiere una plaqueta a $96, siendo su costo total anual de $100.000.- El proveedor de la plaqueta estaría dispuesto a hacer una bonificación de 2$/unidad si se redujera a la mitad el número de pedidos anuales que se le efectúan. La plaqueta se utiliza a razón de 1000 unidades por año, siendo de 32 $/unidad el costo anual de mantenimiento.
¿Conviene aceptar la propuesta del proveedor?</t>
  </si>
  <si>
    <t>Situación Actual</t>
  </si>
  <si>
    <t>b =</t>
  </si>
  <si>
    <t>T =</t>
  </si>
  <si>
    <t>CTE =</t>
  </si>
  <si>
    <t>Situación Propuesta</t>
  </si>
  <si>
    <t>np = na/2</t>
  </si>
  <si>
    <t>D =</t>
  </si>
  <si>
    <t>c1 =</t>
  </si>
  <si>
    <t>Costo Adquisicion</t>
  </si>
  <si>
    <t>Costo Reorden</t>
  </si>
  <si>
    <t>k*n</t>
  </si>
  <si>
    <t>Costo Almacenamiento</t>
  </si>
  <si>
    <t>16*q</t>
  </si>
  <si>
    <t>Creorden = Calmacenamiento</t>
  </si>
  <si>
    <t>=</t>
  </si>
  <si>
    <t>k*D/q = 16*q</t>
  </si>
  <si>
    <r>
      <t>k = 0,016*(q</t>
    </r>
    <r>
      <rPr>
        <sz val="11"/>
        <color theme="1"/>
        <rFont val="Aptos Narrow"/>
        <family val="2"/>
      </rPr>
      <t>^2)</t>
    </r>
  </si>
  <si>
    <t>96000+(0,016(q^2)*1000/q)+16q</t>
  </si>
  <si>
    <t>100000-96000 =</t>
  </si>
  <si>
    <t>32q</t>
  </si>
  <si>
    <t>q</t>
  </si>
  <si>
    <t>q'=D/n</t>
  </si>
  <si>
    <t>conviene aceptar la propuesta</t>
  </si>
  <si>
    <t>Una empresa compra resmas de papel y le pidió cotización a 2 proveedores distintos. Las cotizaciones que enviaron son las siguientes:</t>
  </si>
  <si>
    <t>Empresa X</t>
  </si>
  <si>
    <t>Rango</t>
  </si>
  <si>
    <t>Precio</t>
  </si>
  <si>
    <t>Q &lt; 1200</t>
  </si>
  <si>
    <t>$ 30.-</t>
  </si>
  <si>
    <t>1200 ≤ Q &lt; 3000</t>
  </si>
  <si>
    <t>3000 ≤ Q</t>
  </si>
  <si>
    <t>Empresa Y</t>
  </si>
  <si>
    <t>Q &lt; 1000</t>
  </si>
  <si>
    <t>1000 ≤ Q &lt; 3000</t>
  </si>
  <si>
    <t>Se sabe, que en forma anual serán necesarias 12.000 resmas y que cada vez que se requiere comprar se gasta $160. Por otro lado, una vez que llegan, el costo de mantener el inventario es del 25% del costo de la compra.</t>
  </si>
  <si>
    <t>Elegir el proveedor y la cantidad a comprar.</t>
  </si>
  <si>
    <t>Caso Empresa X</t>
  </si>
  <si>
    <t>K</t>
  </si>
  <si>
    <t>Q ajustado</t>
  </si>
  <si>
    <t>Cre</t>
  </si>
  <si>
    <t>Caso Empresa Y</t>
  </si>
  <si>
    <t>Conviene comprar a la empresa X, 1200 unidades</t>
  </si>
  <si>
    <r>
      <t xml:space="preserve">Una empresa compra y almacena </t>
    </r>
    <r>
      <rPr>
        <b/>
        <sz val="11"/>
        <color theme="1"/>
        <rFont val="Aptos"/>
        <family val="2"/>
      </rPr>
      <t>3 productos</t>
    </r>
    <r>
      <rPr>
        <sz val="11"/>
        <color theme="1"/>
        <rFont val="Aptos"/>
        <family val="2"/>
      </rPr>
      <t xml:space="preserve"> para su venta. Debe elegir la </t>
    </r>
    <r>
      <rPr>
        <b/>
        <sz val="11"/>
        <color theme="1"/>
        <rFont val="Aptos"/>
        <family val="2"/>
      </rPr>
      <t xml:space="preserve">cantidad de pedido </t>
    </r>
    <r>
      <rPr>
        <sz val="11"/>
        <color theme="1"/>
        <rFont val="Aptos"/>
        <family val="2"/>
      </rPr>
      <t>de cada producto para minimizar su costo total anual, sabiendo que el volumen máximo que cuenta en su almacén es de 250m</t>
    </r>
    <r>
      <rPr>
        <vertAlign val="superscript"/>
        <sz val="11"/>
        <color theme="1"/>
        <rFont val="Aptos"/>
        <family val="2"/>
      </rPr>
      <t>3</t>
    </r>
    <r>
      <rPr>
        <sz val="11"/>
        <color theme="1"/>
        <rFont val="Aptos"/>
        <family val="2"/>
      </rPr>
      <t>.</t>
    </r>
  </si>
  <si>
    <t>Producto</t>
  </si>
  <si>
    <t>Demanda (u/año)</t>
  </si>
  <si>
    <r>
      <t>C</t>
    </r>
    <r>
      <rPr>
        <b/>
        <vertAlign val="subscript"/>
        <sz val="11"/>
        <color theme="1"/>
        <rFont val="Aptos"/>
        <family val="2"/>
      </rPr>
      <t>i</t>
    </r>
  </si>
  <si>
    <r>
      <t>V (m</t>
    </r>
    <r>
      <rPr>
        <b/>
        <vertAlign val="superscript"/>
        <sz val="11"/>
        <color theme="1"/>
        <rFont val="Aptos"/>
        <family val="2"/>
      </rPr>
      <t>3</t>
    </r>
    <r>
      <rPr>
        <b/>
        <sz val="11"/>
        <color theme="1"/>
        <rFont val="Aptos"/>
        <family val="2"/>
      </rPr>
      <t>/uni)</t>
    </r>
  </si>
  <si>
    <t>Existe una tasa de mantenimiento (igual para los tres): i=20%</t>
  </si>
  <si>
    <t>Para cada producto se conoce:</t>
  </si>
  <si>
    <t>Q1</t>
  </si>
  <si>
    <t>Q2</t>
  </si>
  <si>
    <t>Q3</t>
  </si>
  <si>
    <t>Sup. necesaria = q1 * s1 + q2 * s2 + q3 * s3</t>
  </si>
  <si>
    <t>Superficie disponible = 250 m2</t>
  </si>
  <si>
    <t>Westside auto adquiere directamente de su proveedor un componente que se utiliza en la manufactura de alternadores para automóviles. La operación de producción de alternadores de Westside, que funciona a tasa constante, requerirá de 900 componente mensuales.
Suponga que los costos de pedir es de $25 por pedido, el costo unitario es de $3 por componente, y los costos anuales de posesión son del 20% del valor del inventario.
Westside tiene 250 dias laborables por año.
Responda a las siguientes preguntas de política de inventarios:
a - Cual es el EOQ de éste componente? 
b - cuantos pedidos se haran en el año?
c - Cual es el tiempo del ciclo? 
d - Cuales son los costos anuales totales, de almacenamiento y de pedido asociados con su EOQ recomendado?
e - Cual es el punto de pedido si el plazo de entrega es de 5 dias?
f - Si aumenta la produccion de alternadores y ahora se necesitan 1200 componentes mensuales, cual sera el EOQ y costos anuales para este nuevo escenario?</t>
  </si>
  <si>
    <t>por mes</t>
  </si>
  <si>
    <t>D (año)</t>
  </si>
  <si>
    <t>i</t>
  </si>
  <si>
    <t>dias laborales
al año</t>
  </si>
  <si>
    <r>
      <t>t</t>
    </r>
    <r>
      <rPr>
        <vertAlign val="subscript"/>
        <sz val="11"/>
        <color theme="1"/>
        <rFont val="Aptos Narrow"/>
        <family val="2"/>
        <scheme val="minor"/>
      </rPr>
      <t>P</t>
    </r>
  </si>
  <si>
    <t>a)</t>
  </si>
  <si>
    <r>
      <t>Q</t>
    </r>
    <r>
      <rPr>
        <vertAlign val="subscript"/>
        <sz val="11"/>
        <color theme="1"/>
        <rFont val="Aptos Narrow"/>
        <family val="2"/>
        <scheme val="minor"/>
      </rPr>
      <t>0</t>
    </r>
    <r>
      <rPr>
        <sz val="11"/>
        <color theme="1"/>
        <rFont val="Aptos Narrow"/>
        <family val="2"/>
        <scheme val="minor"/>
      </rPr>
      <t xml:space="preserve"> = </t>
    </r>
  </si>
  <si>
    <t>2 × k × D</t>
  </si>
  <si>
    <t>C1 × T</t>
  </si>
  <si>
    <t>b)</t>
  </si>
  <si>
    <t xml:space="preserve">n = </t>
  </si>
  <si>
    <r>
      <t>Q</t>
    </r>
    <r>
      <rPr>
        <vertAlign val="subscript"/>
        <sz val="11"/>
        <color theme="1"/>
        <rFont val="Aptos Narrow"/>
        <family val="2"/>
        <scheme val="minor"/>
      </rPr>
      <t>0</t>
    </r>
  </si>
  <si>
    <t>c)</t>
  </si>
  <si>
    <t xml:space="preserve">tiempo de ciclo = </t>
  </si>
  <si>
    <t>250 dias</t>
  </si>
  <si>
    <r>
      <t>t</t>
    </r>
    <r>
      <rPr>
        <vertAlign val="subscript"/>
        <sz val="11"/>
        <color theme="1"/>
        <rFont val="Aptos Narrow"/>
        <family val="2"/>
        <scheme val="minor"/>
      </rPr>
      <t>0</t>
    </r>
    <r>
      <rPr>
        <sz val="11"/>
        <color theme="1"/>
        <rFont val="Aptos Narrow"/>
        <family val="2"/>
        <scheme val="minor"/>
      </rPr>
      <t xml:space="preserve"> = </t>
    </r>
  </si>
  <si>
    <t>d)</t>
  </si>
  <si>
    <r>
      <t>CTE = C</t>
    </r>
    <r>
      <rPr>
        <vertAlign val="subscript"/>
        <sz val="14"/>
        <color theme="1"/>
        <rFont val="Aptos Narrow"/>
        <family val="2"/>
        <scheme val="minor"/>
      </rPr>
      <t>adq</t>
    </r>
    <r>
      <rPr>
        <sz val="14"/>
        <color theme="1"/>
        <rFont val="Aptos Narrow"/>
        <family val="2"/>
        <scheme val="minor"/>
      </rPr>
      <t xml:space="preserve"> + C</t>
    </r>
    <r>
      <rPr>
        <vertAlign val="subscript"/>
        <sz val="14"/>
        <color theme="1"/>
        <rFont val="Aptos Narrow"/>
        <family val="2"/>
        <scheme val="minor"/>
      </rPr>
      <t>rep</t>
    </r>
    <r>
      <rPr>
        <sz val="14"/>
        <color theme="1"/>
        <rFont val="Aptos Narrow"/>
        <family val="2"/>
        <scheme val="minor"/>
      </rPr>
      <t xml:space="preserve"> + C</t>
    </r>
    <r>
      <rPr>
        <vertAlign val="subscript"/>
        <sz val="14"/>
        <color theme="1"/>
        <rFont val="Aptos Narrow"/>
        <family val="2"/>
        <scheme val="minor"/>
      </rPr>
      <t>alm</t>
    </r>
  </si>
  <si>
    <r>
      <t>CTE = b×Q</t>
    </r>
    <r>
      <rPr>
        <vertAlign val="subscript"/>
        <sz val="14"/>
        <color theme="1"/>
        <rFont val="Aptos Narrow"/>
        <family val="2"/>
        <scheme val="minor"/>
      </rPr>
      <t>0</t>
    </r>
    <r>
      <rPr>
        <sz val="14"/>
        <color theme="1"/>
        <rFont val="Aptos Narrow"/>
        <family val="2"/>
        <scheme val="minor"/>
      </rPr>
      <t>×n + k×n + ½×C1×Q</t>
    </r>
    <r>
      <rPr>
        <vertAlign val="subscript"/>
        <sz val="14"/>
        <color theme="1"/>
        <rFont val="Aptos Narrow"/>
        <family val="2"/>
        <scheme val="minor"/>
      </rPr>
      <t>0</t>
    </r>
    <r>
      <rPr>
        <sz val="14"/>
        <color theme="1"/>
        <rFont val="Aptos Narrow"/>
        <family val="2"/>
        <scheme val="minor"/>
      </rPr>
      <t>×T</t>
    </r>
  </si>
  <si>
    <t>Crep</t>
  </si>
  <si>
    <t>CET</t>
  </si>
  <si>
    <t>e)</t>
  </si>
  <si>
    <r>
      <t>Q</t>
    </r>
    <r>
      <rPr>
        <vertAlign val="subscript"/>
        <sz val="11"/>
        <color theme="1"/>
        <rFont val="Aptos Narrow"/>
        <family val="2"/>
        <scheme val="minor"/>
      </rPr>
      <t>P</t>
    </r>
  </si>
  <si>
    <r>
      <t>t</t>
    </r>
    <r>
      <rPr>
        <vertAlign val="subscript"/>
        <sz val="11"/>
        <color theme="1"/>
        <rFont val="Aptos Narrow"/>
        <family val="2"/>
        <scheme val="minor"/>
      </rPr>
      <t>0</t>
    </r>
  </si>
  <si>
    <r>
      <t>Q</t>
    </r>
    <r>
      <rPr>
        <vertAlign val="subscript"/>
        <sz val="11"/>
        <color theme="1"/>
        <rFont val="Aptos Narrow"/>
        <family val="2"/>
        <scheme val="minor"/>
      </rPr>
      <t>P</t>
    </r>
    <r>
      <rPr>
        <sz val="11"/>
        <color theme="1"/>
        <rFont val="Aptos Narrow"/>
        <family val="2"/>
        <scheme val="minor"/>
      </rPr>
      <t xml:space="preserve"> = </t>
    </r>
  </si>
  <si>
    <r>
      <t>Q</t>
    </r>
    <r>
      <rPr>
        <vertAlign val="subscript"/>
        <sz val="11"/>
        <color theme="1"/>
        <rFont val="Aptos Narrow"/>
        <family val="2"/>
        <scheme val="minor"/>
      </rPr>
      <t>0</t>
    </r>
    <r>
      <rPr>
        <sz val="11"/>
        <color theme="1"/>
        <rFont val="Aptos Narrow"/>
        <family val="2"/>
        <scheme val="minor"/>
      </rPr>
      <t>×t</t>
    </r>
    <r>
      <rPr>
        <vertAlign val="subscript"/>
        <sz val="11"/>
        <color theme="1"/>
        <rFont val="Aptos Narrow"/>
        <family val="2"/>
        <scheme val="minor"/>
      </rPr>
      <t>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</si>
</sst>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&quot;$&quot;#,##0.00"/>
    <numFmt numFmtId="165" formatCode="0\ &quot;Año&quot;"/>
    <numFmt numFmtId="166" formatCode="0\ &quot;unidades&quot;"/>
    <numFmt numFmtId="172" formatCode="0.000"/>
    <numFmt numFmtId="173" formatCode="0\ &quot;u/mes&quot;"/>
    <numFmt numFmtId="174" formatCode="0\ &quot;u/año&quot;"/>
    <numFmt numFmtId="175" formatCode="0\ &quot;$/pedido&quot;"/>
    <numFmt numFmtId="176" formatCode="0\ &quot;$/u&quot;"/>
    <numFmt numFmtId="177" formatCode="0\ &quot;perritos&quot;"/>
    <numFmt numFmtId="178" formatCode="0\ &quot;%/año&quot;"/>
    <numFmt numFmtId="179" formatCode="0\ &quot;dias&quot;"/>
    <numFmt numFmtId="180" formatCode="0.0\ &quot;$/u/año&quot;"/>
    <numFmt numFmtId="181" formatCode="0\ &quot;año&quot;"/>
    <numFmt numFmtId="182" formatCode="0.0\ &quot;unidades&quot;"/>
    <numFmt numFmtId="183" formatCode="0.00\ &quot;pedidos&quot;"/>
    <numFmt numFmtId="184" formatCode="0\ &quot;pedidos&quot;"/>
    <numFmt numFmtId="185" formatCode="0.00\ &quot;dias&quot;"/>
    <numFmt numFmtId="186" formatCode="0.00\ &quot;$/año&quot;"/>
  </numFmts>
  <fonts count="3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sz val="14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4"/>
      <color indexed="47"/>
      <name val="Arial"/>
      <family val="2"/>
    </font>
    <font>
      <b/>
      <sz val="14"/>
      <color indexed="46"/>
      <name val="Arial"/>
      <family val="2"/>
    </font>
    <font>
      <b/>
      <sz val="11"/>
      <name val="Arial"/>
      <family val="2"/>
    </font>
    <font>
      <b/>
      <sz val="14"/>
      <color indexed="45"/>
      <name val="Arial"/>
      <family val="2"/>
    </font>
    <font>
      <b/>
      <sz val="12"/>
      <color theme="1"/>
      <name val="Arial"/>
      <family val="2"/>
    </font>
    <font>
      <b/>
      <sz val="11"/>
      <color rgb="FFFF0000"/>
      <name val="Aptos Narrow"/>
      <family val="2"/>
      <scheme val="minor"/>
    </font>
    <font>
      <sz val="11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Aptos"/>
      <family val="2"/>
    </font>
    <font>
      <u/>
      <sz val="11"/>
      <color theme="1"/>
      <name val="Aptos"/>
      <family val="2"/>
    </font>
    <font>
      <b/>
      <sz val="11"/>
      <color theme="1"/>
      <name val="Aptos"/>
      <family val="2"/>
    </font>
    <font>
      <vertAlign val="superscript"/>
      <sz val="11"/>
      <color theme="1"/>
      <name val="Aptos"/>
      <family val="2"/>
    </font>
    <font>
      <b/>
      <vertAlign val="subscript"/>
      <sz val="11"/>
      <color theme="1"/>
      <name val="Aptos"/>
      <family val="2"/>
    </font>
    <font>
      <b/>
      <vertAlign val="superscript"/>
      <sz val="11"/>
      <color theme="1"/>
      <name val="Aptos"/>
      <family val="2"/>
    </font>
    <font>
      <vertAlign val="subscript"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vertAlign val="subscript"/>
      <sz val="14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44" fontId="23" fillId="0" borderId="0" applyFont="0" applyFill="0" applyBorder="0" applyAlignment="0" applyProtection="0"/>
  </cellStyleXfs>
  <cellXfs count="158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1" xfId="0" applyFill="1" applyBorder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4" fillId="0" borderId="0" xfId="0" applyFont="1"/>
    <xf numFmtId="0" fontId="5" fillId="0" borderId="0" xfId="0" applyFont="1" applyAlignment="1">
      <alignment horizontal="right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right" vertical="center"/>
    </xf>
    <xf numFmtId="0" fontId="11" fillId="0" borderId="0" xfId="0" applyFont="1"/>
    <xf numFmtId="0" fontId="0" fillId="0" borderId="5" xfId="0" applyBorder="1"/>
    <xf numFmtId="0" fontId="0" fillId="0" borderId="3" xfId="0" applyBorder="1"/>
    <xf numFmtId="0" fontId="1" fillId="0" borderId="0" xfId="0" applyFont="1"/>
    <xf numFmtId="0" fontId="12" fillId="0" borderId="0" xfId="0" applyFont="1"/>
    <xf numFmtId="0" fontId="13" fillId="0" borderId="6" xfId="0" applyFont="1" applyBorder="1" applyAlignment="1">
      <alignment wrapText="1"/>
    </xf>
    <xf numFmtId="0" fontId="14" fillId="0" borderId="6" xfId="0" applyFont="1" applyBorder="1" applyAlignment="1">
      <alignment horizontal="center" wrapText="1"/>
    </xf>
    <xf numFmtId="0" fontId="14" fillId="0" borderId="6" xfId="0" applyFont="1" applyBorder="1" applyAlignment="1">
      <alignment horizontal="right" wrapText="1"/>
    </xf>
    <xf numFmtId="0" fontId="14" fillId="0" borderId="6" xfId="0" applyFont="1" applyBorder="1" applyAlignment="1">
      <alignment vertical="center"/>
    </xf>
    <xf numFmtId="0" fontId="15" fillId="0" borderId="6" xfId="0" applyFont="1" applyBorder="1" applyAlignment="1">
      <alignment vertical="center"/>
    </xf>
    <xf numFmtId="0" fontId="13" fillId="0" borderId="6" xfId="0" applyFont="1" applyBorder="1" applyAlignment="1">
      <alignment vertical="center" wrapText="1"/>
    </xf>
    <xf numFmtId="0" fontId="15" fillId="0" borderId="6" xfId="0" applyFont="1" applyBorder="1" applyAlignment="1">
      <alignment horizontal="right" vertical="center" wrapText="1"/>
    </xf>
    <xf numFmtId="0" fontId="15" fillId="0" borderId="6" xfId="0" applyFont="1" applyBorder="1" applyAlignment="1">
      <alignment horizontal="center" wrapText="1"/>
    </xf>
    <xf numFmtId="0" fontId="14" fillId="0" borderId="7" xfId="0" applyFont="1" applyBorder="1" applyAlignment="1">
      <alignment vertical="center"/>
    </xf>
    <xf numFmtId="0" fontId="13" fillId="0" borderId="7" xfId="0" applyFont="1" applyBorder="1" applyAlignment="1">
      <alignment wrapText="1"/>
    </xf>
    <xf numFmtId="0" fontId="13" fillId="0" borderId="8" xfId="0" applyFont="1" applyBorder="1" applyAlignment="1">
      <alignment wrapText="1"/>
    </xf>
    <xf numFmtId="0" fontId="15" fillId="3" borderId="7" xfId="0" applyFont="1" applyFill="1" applyBorder="1" applyAlignment="1">
      <alignment horizontal="right" wrapText="1"/>
    </xf>
    <xf numFmtId="8" fontId="15" fillId="3" borderId="9" xfId="0" applyNumberFormat="1" applyFont="1" applyFill="1" applyBorder="1" applyAlignment="1">
      <alignment horizontal="right" wrapText="1"/>
    </xf>
    <xf numFmtId="0" fontId="15" fillId="0" borderId="7" xfId="0" applyFont="1" applyBorder="1" applyAlignment="1">
      <alignment vertical="center"/>
    </xf>
    <xf numFmtId="0" fontId="15" fillId="0" borderId="6" xfId="0" applyFont="1" applyBorder="1" applyAlignment="1">
      <alignment horizontal="right" wrapText="1"/>
    </xf>
    <xf numFmtId="0" fontId="15" fillId="4" borderId="7" xfId="0" applyFont="1" applyFill="1" applyBorder="1" applyAlignment="1">
      <alignment horizontal="right" vertical="center" wrapText="1"/>
    </xf>
    <xf numFmtId="0" fontId="15" fillId="4" borderId="9" xfId="0" applyFont="1" applyFill="1" applyBorder="1" applyAlignment="1">
      <alignment wrapText="1"/>
    </xf>
    <xf numFmtId="0" fontId="16" fillId="0" borderId="6" xfId="0" applyFont="1" applyBorder="1" applyAlignment="1">
      <alignment vertical="center"/>
    </xf>
    <xf numFmtId="0" fontId="17" fillId="0" borderId="6" xfId="0" applyFont="1" applyBorder="1" applyAlignment="1">
      <alignment horizontal="right" wrapText="1"/>
    </xf>
    <xf numFmtId="4" fontId="15" fillId="0" borderId="6" xfId="0" applyNumberFormat="1" applyFont="1" applyBorder="1" applyAlignment="1">
      <alignment horizontal="right" wrapText="1"/>
    </xf>
    <xf numFmtId="8" fontId="15" fillId="0" borderId="6" xfId="0" applyNumberFormat="1" applyFont="1" applyBorder="1" applyAlignment="1">
      <alignment horizontal="right" wrapText="1"/>
    </xf>
    <xf numFmtId="0" fontId="15" fillId="3" borderId="6" xfId="0" applyFont="1" applyFill="1" applyBorder="1" applyAlignment="1">
      <alignment horizontal="right" wrapText="1"/>
    </xf>
    <xf numFmtId="0" fontId="14" fillId="3" borderId="6" xfId="0" applyFont="1" applyFill="1" applyBorder="1" applyAlignment="1">
      <alignment horizontal="right" wrapText="1"/>
    </xf>
    <xf numFmtId="0" fontId="13" fillId="3" borderId="6" xfId="0" applyFont="1" applyFill="1" applyBorder="1" applyAlignment="1">
      <alignment wrapText="1"/>
    </xf>
    <xf numFmtId="8" fontId="15" fillId="3" borderId="6" xfId="0" applyNumberFormat="1" applyFont="1" applyFill="1" applyBorder="1" applyAlignment="1">
      <alignment horizontal="right" wrapText="1"/>
    </xf>
    <xf numFmtId="0" fontId="14" fillId="0" borderId="7" xfId="0" applyFont="1" applyBorder="1" applyAlignment="1">
      <alignment horizontal="right" wrapText="1"/>
    </xf>
    <xf numFmtId="0" fontId="17" fillId="0" borderId="6" xfId="0" applyFont="1" applyBorder="1" applyAlignment="1">
      <alignment vertical="center"/>
    </xf>
    <xf numFmtId="0" fontId="14" fillId="0" borderId="6" xfId="0" applyFont="1" applyBorder="1" applyAlignment="1">
      <alignment wrapText="1"/>
    </xf>
    <xf numFmtId="0" fontId="14" fillId="0" borderId="8" xfId="0" applyFont="1" applyBorder="1" applyAlignment="1">
      <alignment horizontal="center" wrapText="1"/>
    </xf>
    <xf numFmtId="0" fontId="17" fillId="3" borderId="7" xfId="0" applyFont="1" applyFill="1" applyBorder="1" applyAlignment="1">
      <alignment horizontal="right" wrapText="1"/>
    </xf>
    <xf numFmtId="0" fontId="15" fillId="3" borderId="9" xfId="0" applyFont="1" applyFill="1" applyBorder="1" applyAlignment="1">
      <alignment wrapText="1"/>
    </xf>
    <xf numFmtId="0" fontId="15" fillId="3" borderId="7" xfId="0" applyFont="1" applyFill="1" applyBorder="1" applyAlignment="1">
      <alignment horizontal="right" vertical="center" wrapText="1"/>
    </xf>
    <xf numFmtId="8" fontId="15" fillId="3" borderId="9" xfId="0" applyNumberFormat="1" applyFont="1" applyFill="1" applyBorder="1" applyAlignment="1">
      <alignment horizontal="center" wrapText="1"/>
    </xf>
    <xf numFmtId="0" fontId="15" fillId="3" borderId="7" xfId="0" applyFont="1" applyFill="1" applyBorder="1" applyAlignment="1">
      <alignment horizontal="center" wrapText="1"/>
    </xf>
    <xf numFmtId="10" fontId="15" fillId="3" borderId="9" xfId="0" applyNumberFormat="1" applyFont="1" applyFill="1" applyBorder="1" applyAlignment="1">
      <alignment horizontal="center" wrapText="1"/>
    </xf>
    <xf numFmtId="0" fontId="13" fillId="0" borderId="10" xfId="0" applyFont="1" applyBorder="1" applyAlignment="1">
      <alignment wrapText="1"/>
    </xf>
    <xf numFmtId="0" fontId="13" fillId="0" borderId="10" xfId="0" applyFont="1" applyBorder="1" applyAlignment="1">
      <alignment horizontal="right" wrapText="1"/>
    </xf>
    <xf numFmtId="0" fontId="13" fillId="0" borderId="1" xfId="0" applyFont="1" applyBorder="1" applyAlignment="1">
      <alignment wrapText="1"/>
    </xf>
    <xf numFmtId="0" fontId="14" fillId="0" borderId="1" xfId="0" applyFont="1" applyBorder="1" applyAlignment="1">
      <alignment horizontal="center" wrapText="1"/>
    </xf>
    <xf numFmtId="0" fontId="15" fillId="4" borderId="1" xfId="0" applyFont="1" applyFill="1" applyBorder="1" applyAlignment="1">
      <alignment horizontal="center" wrapText="1"/>
    </xf>
    <xf numFmtId="0" fontId="14" fillId="4" borderId="1" xfId="0" applyFont="1" applyFill="1" applyBorder="1" applyAlignment="1">
      <alignment horizontal="center" wrapText="1"/>
    </xf>
    <xf numFmtId="0" fontId="18" fillId="0" borderId="0" xfId="0" applyFont="1"/>
    <xf numFmtId="0" fontId="19" fillId="0" borderId="0" xfId="0" applyFont="1"/>
    <xf numFmtId="164" fontId="18" fillId="0" borderId="0" xfId="0" applyNumberFormat="1" applyFont="1"/>
    <xf numFmtId="2" fontId="18" fillId="0" borderId="0" xfId="0" applyNumberFormat="1" applyFont="1"/>
    <xf numFmtId="0" fontId="18" fillId="0" borderId="0" xfId="0" applyFont="1" applyAlignment="1">
      <alignment wrapText="1"/>
    </xf>
    <xf numFmtId="0" fontId="18" fillId="0" borderId="1" xfId="0" applyFont="1" applyBorder="1"/>
    <xf numFmtId="0" fontId="0" fillId="0" borderId="1" xfId="0" applyBorder="1"/>
    <xf numFmtId="164" fontId="18" fillId="0" borderId="1" xfId="0" applyNumberFormat="1" applyFont="1" applyBorder="1"/>
    <xf numFmtId="2" fontId="20" fillId="0" borderId="0" xfId="0" applyNumberFormat="1" applyFont="1"/>
    <xf numFmtId="0" fontId="0" fillId="0" borderId="0" xfId="0" applyAlignment="1">
      <alignment horizontal="center"/>
    </xf>
    <xf numFmtId="0" fontId="21" fillId="0" borderId="0" xfId="0" applyFont="1" applyAlignment="1">
      <alignment horizontal="left" vertical="center" readingOrder="1"/>
    </xf>
    <xf numFmtId="2" fontId="0" fillId="0" borderId="1" xfId="0" applyNumberFormat="1" applyBorder="1" applyAlignment="1">
      <alignment horizontal="center"/>
    </xf>
    <xf numFmtId="0" fontId="22" fillId="0" borderId="1" xfId="0" applyFont="1" applyBorder="1" applyAlignment="1">
      <alignment horizontal="center" vertical="center" readingOrder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0" fillId="0" borderId="0" xfId="0" applyAlignment="1">
      <alignment horizontal="center" wrapText="1"/>
    </xf>
    <xf numFmtId="44" fontId="0" fillId="0" borderId="0" xfId="1" applyFon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12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44" fontId="1" fillId="0" borderId="0" xfId="0" applyNumberFormat="1" applyFont="1"/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7" fillId="0" borderId="11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8" fontId="25" fillId="0" borderId="14" xfId="0" applyNumberFormat="1" applyFont="1" applyBorder="1" applyAlignment="1">
      <alignment horizontal="center" vertical="center" wrapText="1"/>
    </xf>
    <xf numFmtId="0" fontId="27" fillId="0" borderId="0" xfId="0" applyFont="1" applyFill="1" applyBorder="1" applyAlignment="1">
      <alignment vertical="center"/>
    </xf>
    <xf numFmtId="0" fontId="27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165" fontId="25" fillId="0" borderId="1" xfId="0" applyNumberFormat="1" applyFont="1" applyBorder="1" applyAlignment="1">
      <alignment horizontal="center" vertical="center" wrapText="1"/>
    </xf>
    <xf numFmtId="44" fontId="25" fillId="0" borderId="1" xfId="1" applyFont="1" applyBorder="1" applyAlignment="1">
      <alignment horizontal="center" vertical="center" wrapText="1"/>
    </xf>
    <xf numFmtId="166" fontId="25" fillId="0" borderId="1" xfId="1" applyNumberFormat="1" applyFont="1" applyBorder="1" applyAlignment="1">
      <alignment horizontal="center" vertical="center" wrapText="1"/>
    </xf>
    <xf numFmtId="0" fontId="27" fillId="0" borderId="1" xfId="0" applyFont="1" applyFill="1" applyBorder="1" applyAlignment="1">
      <alignment horizontal="center" vertical="center" wrapText="1"/>
    </xf>
    <xf numFmtId="44" fontId="0" fillId="0" borderId="1" xfId="1" applyFont="1" applyBorder="1"/>
    <xf numFmtId="44" fontId="0" fillId="4" borderId="1" xfId="1" applyFont="1" applyFill="1" applyBorder="1"/>
    <xf numFmtId="166" fontId="25" fillId="4" borderId="1" xfId="1" applyNumberFormat="1" applyFont="1" applyFill="1" applyBorder="1" applyAlignment="1">
      <alignment horizontal="center" vertical="center" wrapText="1"/>
    </xf>
    <xf numFmtId="166" fontId="25" fillId="0" borderId="1" xfId="1" applyNumberFormat="1" applyFont="1" applyFill="1" applyBorder="1" applyAlignment="1">
      <alignment horizontal="center" vertical="center" wrapText="1"/>
    </xf>
    <xf numFmtId="44" fontId="0" fillId="0" borderId="1" xfId="1" applyFont="1" applyFill="1" applyBorder="1"/>
    <xf numFmtId="2" fontId="1" fillId="0" borderId="1" xfId="0" applyNumberFormat="1" applyFont="1" applyBorder="1" applyAlignment="1">
      <alignment horizontal="center"/>
    </xf>
    <xf numFmtId="172" fontId="1" fillId="0" borderId="1" xfId="0" applyNumberFormat="1" applyFont="1" applyBorder="1" applyAlignment="1">
      <alignment horizontal="center"/>
    </xf>
    <xf numFmtId="0" fontId="0" fillId="5" borderId="0" xfId="0" applyFill="1" applyAlignment="1">
      <alignment horizontal="left" vertical="top" wrapText="1"/>
    </xf>
    <xf numFmtId="0" fontId="0" fillId="6" borderId="0" xfId="0" applyFill="1"/>
    <xf numFmtId="0" fontId="0" fillId="6" borderId="0" xfId="0" applyFill="1" applyAlignment="1">
      <alignment vertical="top" wrapText="1"/>
    </xf>
    <xf numFmtId="0" fontId="0" fillId="6" borderId="5" xfId="0" applyFill="1" applyBorder="1"/>
    <xf numFmtId="173" fontId="0" fillId="6" borderId="5" xfId="0" applyNumberFormat="1" applyFill="1" applyBorder="1" applyAlignment="1">
      <alignment horizontal="left" vertical="center"/>
    </xf>
    <xf numFmtId="0" fontId="0" fillId="6" borderId="0" xfId="0" applyFill="1" applyAlignment="1">
      <alignment horizontal="center" vertical="center"/>
    </xf>
    <xf numFmtId="0" fontId="0" fillId="6" borderId="3" xfId="0" applyFill="1" applyBorder="1"/>
    <xf numFmtId="174" fontId="0" fillId="6" borderId="3" xfId="0" applyNumberFormat="1" applyFill="1" applyBorder="1" applyAlignment="1">
      <alignment horizontal="left" vertical="center"/>
    </xf>
    <xf numFmtId="175" fontId="0" fillId="6" borderId="3" xfId="0" applyNumberFormat="1" applyFill="1" applyBorder="1" applyAlignment="1">
      <alignment horizontal="left" vertical="center"/>
    </xf>
    <xf numFmtId="176" fontId="0" fillId="6" borderId="3" xfId="0" applyNumberFormat="1" applyFill="1" applyBorder="1" applyAlignment="1">
      <alignment horizontal="left" vertical="center"/>
    </xf>
    <xf numFmtId="177" fontId="0" fillId="6" borderId="0" xfId="0" applyNumberFormat="1" applyFill="1" applyAlignment="1">
      <alignment horizontal="center" vertical="center"/>
    </xf>
    <xf numFmtId="178" fontId="0" fillId="6" borderId="3" xfId="0" applyNumberFormat="1" applyFill="1" applyBorder="1" applyAlignment="1">
      <alignment horizontal="left" vertical="center"/>
    </xf>
    <xf numFmtId="0" fontId="0" fillId="6" borderId="3" xfId="0" applyFill="1" applyBorder="1" applyAlignment="1">
      <alignment wrapText="1"/>
    </xf>
    <xf numFmtId="179" fontId="0" fillId="6" borderId="15" xfId="0" applyNumberFormat="1" applyFill="1" applyBorder="1" applyAlignment="1">
      <alignment horizontal="left" vertical="center"/>
    </xf>
    <xf numFmtId="0" fontId="0" fillId="6" borderId="0" xfId="0" applyFill="1" applyAlignment="1">
      <alignment horizontal="center" vertical="center"/>
    </xf>
    <xf numFmtId="0" fontId="0" fillId="6" borderId="3" xfId="0" applyFill="1" applyBorder="1"/>
    <xf numFmtId="179" fontId="0" fillId="6" borderId="5" xfId="0" applyNumberFormat="1" applyFill="1" applyBorder="1" applyAlignment="1">
      <alignment horizontal="left" vertical="center"/>
    </xf>
    <xf numFmtId="180" fontId="0" fillId="6" borderId="3" xfId="0" applyNumberFormat="1" applyFill="1" applyBorder="1" applyAlignment="1">
      <alignment horizontal="left" vertical="center"/>
    </xf>
    <xf numFmtId="181" fontId="0" fillId="6" borderId="3" xfId="0" applyNumberFormat="1" applyFill="1" applyBorder="1" applyAlignment="1">
      <alignment horizontal="left" vertical="center"/>
    </xf>
    <xf numFmtId="179" fontId="0" fillId="6" borderId="3" xfId="0" applyNumberFormat="1" applyFill="1" applyBorder="1" applyAlignment="1">
      <alignment horizontal="left" vertical="center"/>
    </xf>
    <xf numFmtId="179" fontId="0" fillId="6" borderId="0" xfId="0" applyNumberFormat="1" applyFill="1" applyAlignment="1">
      <alignment vertical="center"/>
    </xf>
    <xf numFmtId="0" fontId="0" fillId="5" borderId="0" xfId="0" applyFill="1" applyAlignment="1">
      <alignment horizontal="left" vertical="center"/>
    </xf>
    <xf numFmtId="0" fontId="0" fillId="6" borderId="0" xfId="0" applyFill="1" applyAlignment="1">
      <alignment horizontal="right" vertical="center"/>
    </xf>
    <xf numFmtId="0" fontId="0" fillId="6" borderId="0" xfId="0" applyFill="1" applyAlignment="1">
      <alignment vertical="center"/>
    </xf>
    <xf numFmtId="182" fontId="0" fillId="6" borderId="0" xfId="0" applyNumberFormat="1" applyFill="1" applyAlignment="1">
      <alignment horizontal="left" vertical="center"/>
    </xf>
    <xf numFmtId="0" fontId="0" fillId="6" borderId="16" xfId="0" applyFill="1" applyBorder="1" applyAlignment="1">
      <alignment horizontal="center" vertical="center"/>
    </xf>
    <xf numFmtId="0" fontId="0" fillId="6" borderId="0" xfId="0" applyFill="1" applyAlignment="1">
      <alignment horizontal="left" vertical="center"/>
    </xf>
    <xf numFmtId="0" fontId="0" fillId="6" borderId="0" xfId="0" applyFill="1" applyAlignment="1">
      <alignment horizontal="right" vertical="center"/>
    </xf>
    <xf numFmtId="182" fontId="0" fillId="6" borderId="0" xfId="0" applyNumberFormat="1" applyFill="1" applyAlignment="1">
      <alignment horizontal="left" vertical="center"/>
    </xf>
    <xf numFmtId="0" fontId="0" fillId="7" borderId="0" xfId="0" applyFill="1" applyAlignment="1">
      <alignment horizontal="right" vertical="center"/>
    </xf>
    <xf numFmtId="166" fontId="0" fillId="7" borderId="0" xfId="0" applyNumberFormat="1" applyFill="1" applyAlignment="1">
      <alignment horizontal="left" vertical="center"/>
    </xf>
    <xf numFmtId="183" fontId="0" fillId="6" borderId="0" xfId="0" applyNumberFormat="1" applyFill="1" applyAlignment="1">
      <alignment horizontal="left" vertical="center"/>
    </xf>
    <xf numFmtId="184" fontId="0" fillId="6" borderId="0" xfId="0" applyNumberFormat="1" applyFill="1" applyAlignment="1">
      <alignment vertical="center"/>
    </xf>
    <xf numFmtId="184" fontId="0" fillId="7" borderId="0" xfId="0" applyNumberFormat="1" applyFill="1" applyAlignment="1">
      <alignment horizontal="left" vertical="center"/>
    </xf>
    <xf numFmtId="184" fontId="0" fillId="6" borderId="0" xfId="0" applyNumberFormat="1" applyFill="1" applyAlignment="1">
      <alignment horizontal="left" vertical="center"/>
    </xf>
    <xf numFmtId="185" fontId="0" fillId="6" borderId="0" xfId="0" applyNumberFormat="1" applyFill="1" applyAlignment="1">
      <alignment horizontal="left" vertical="center"/>
    </xf>
    <xf numFmtId="0" fontId="0" fillId="6" borderId="0" xfId="0" applyFill="1"/>
    <xf numFmtId="185" fontId="0" fillId="6" borderId="0" xfId="0" applyNumberFormat="1" applyFill="1" applyAlignment="1">
      <alignment horizontal="left" vertical="center"/>
    </xf>
    <xf numFmtId="179" fontId="0" fillId="7" borderId="0" xfId="0" applyNumberFormat="1" applyFill="1" applyAlignment="1">
      <alignment horizontal="left" vertical="center"/>
    </xf>
    <xf numFmtId="179" fontId="0" fillId="6" borderId="0" xfId="0" applyNumberFormat="1" applyFill="1" applyAlignment="1">
      <alignment horizontal="left" vertical="center"/>
    </xf>
    <xf numFmtId="0" fontId="32" fillId="6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186" fontId="0" fillId="7" borderId="0" xfId="0" applyNumberFormat="1" applyFill="1" applyAlignment="1">
      <alignment horizontal="left" vertical="center"/>
    </xf>
    <xf numFmtId="0" fontId="1" fillId="7" borderId="0" xfId="0" applyFont="1" applyFill="1" applyAlignment="1">
      <alignment horizontal="right" vertical="center"/>
    </xf>
    <xf numFmtId="0" fontId="1" fillId="7" borderId="0" xfId="0" applyFont="1" applyFill="1" applyAlignment="1">
      <alignment horizontal="center" vertical="center"/>
    </xf>
    <xf numFmtId="186" fontId="1" fillId="7" borderId="0" xfId="0" applyNumberFormat="1" applyFont="1" applyFill="1" applyAlignment="1">
      <alignment horizontal="left" vertical="center"/>
    </xf>
    <xf numFmtId="0" fontId="0" fillId="0" borderId="0" xfId="0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emf"/><Relationship Id="rId1" Type="http://schemas.openxmlformats.org/officeDocument/2006/relationships/image" Target="../media/image3.png"/><Relationship Id="rId4" Type="http://schemas.openxmlformats.org/officeDocument/2006/relationships/image" Target="../media/image6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447675</xdr:colOff>
      <xdr:row>0</xdr:row>
      <xdr:rowOff>95250</xdr:rowOff>
    </xdr:from>
    <xdr:to>
      <xdr:col>7</xdr:col>
      <xdr:colOff>296029</xdr:colOff>
      <xdr:row>17</xdr:row>
      <xdr:rowOff>114755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CF21046-5666-D241-A432-DEDD21D63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675" y="95250"/>
          <a:ext cx="5401429" cy="32580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23</xdr:row>
      <xdr:rowOff>0</xdr:rowOff>
    </xdr:from>
    <xdr:to>
      <xdr:col>1</xdr:col>
      <xdr:colOff>0</xdr:colOff>
      <xdr:row>38</xdr:row>
      <xdr:rowOff>9525</xdr:rowOff>
    </xdr:to>
    <xdr:sp macro="" textlink="">
      <xdr:nvSpPr>
        <xdr:cNvPr id="2" name="Line 10">
          <a:extLst>
            <a:ext uri="{FF2B5EF4-FFF2-40B4-BE49-F238E27FC236}">
              <a16:creationId xmlns:a16="http://schemas.microsoft.com/office/drawing/2014/main" id="{F4B76552-D05F-482E-9D79-D526A301AE80}"/>
            </a:ext>
          </a:extLst>
        </xdr:cNvPr>
        <xdr:cNvSpPr>
          <a:spLocks noChangeShapeType="1"/>
        </xdr:cNvSpPr>
      </xdr:nvSpPr>
      <xdr:spPr bwMode="auto">
        <a:xfrm flipV="1">
          <a:off x="762000" y="4486275"/>
          <a:ext cx="0" cy="3438525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0</xdr:col>
      <xdr:colOff>400050</xdr:colOff>
      <xdr:row>37</xdr:row>
      <xdr:rowOff>0</xdr:rowOff>
    </xdr:from>
    <xdr:to>
      <xdr:col>8</xdr:col>
      <xdr:colOff>476250</xdr:colOff>
      <xdr:row>37</xdr:row>
      <xdr:rowOff>0</xdr:rowOff>
    </xdr:to>
    <xdr:sp macro="" textlink="">
      <xdr:nvSpPr>
        <xdr:cNvPr id="3" name="Line 11">
          <a:extLst>
            <a:ext uri="{FF2B5EF4-FFF2-40B4-BE49-F238E27FC236}">
              <a16:creationId xmlns:a16="http://schemas.microsoft.com/office/drawing/2014/main" id="{1B8BD891-A92D-4EF3-AE8F-7381C4732593}"/>
            </a:ext>
          </a:extLst>
        </xdr:cNvPr>
        <xdr:cNvSpPr>
          <a:spLocks noChangeShapeType="1"/>
        </xdr:cNvSpPr>
      </xdr:nvSpPr>
      <xdr:spPr bwMode="auto">
        <a:xfrm>
          <a:off x="400050" y="7686675"/>
          <a:ext cx="6172200" cy="0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</xdr:col>
      <xdr:colOff>0</xdr:colOff>
      <xdr:row>25</xdr:row>
      <xdr:rowOff>295275</xdr:rowOff>
    </xdr:from>
    <xdr:to>
      <xdr:col>6</xdr:col>
      <xdr:colOff>57150</xdr:colOff>
      <xdr:row>36</xdr:row>
      <xdr:rowOff>304800</xdr:rowOff>
    </xdr:to>
    <xdr:sp macro="" textlink="">
      <xdr:nvSpPr>
        <xdr:cNvPr id="4" name="Line 12">
          <a:extLst>
            <a:ext uri="{FF2B5EF4-FFF2-40B4-BE49-F238E27FC236}">
              <a16:creationId xmlns:a16="http://schemas.microsoft.com/office/drawing/2014/main" id="{2EFE19A3-777E-4EBE-B823-D3FFBC02F179}"/>
            </a:ext>
          </a:extLst>
        </xdr:cNvPr>
        <xdr:cNvSpPr>
          <a:spLocks noChangeShapeType="1"/>
        </xdr:cNvSpPr>
      </xdr:nvSpPr>
      <xdr:spPr bwMode="auto">
        <a:xfrm flipV="1">
          <a:off x="762000" y="5172075"/>
          <a:ext cx="3867150" cy="2514600"/>
        </a:xfrm>
        <a:prstGeom prst="line">
          <a:avLst/>
        </a:prstGeom>
        <a:noFill/>
        <a:ln w="38100">
          <a:solidFill>
            <a:srgbClr val="FFCC99"/>
          </a:solidFill>
          <a:round/>
          <a:headEnd/>
          <a:tailEnd/>
        </a:ln>
      </xdr:spPr>
    </xdr:sp>
    <xdr:clientData/>
  </xdr:twoCellAnchor>
  <xdr:twoCellAnchor>
    <xdr:from>
      <xdr:col>1</xdr:col>
      <xdr:colOff>47625</xdr:colOff>
      <xdr:row>25</xdr:row>
      <xdr:rowOff>152400</xdr:rowOff>
    </xdr:from>
    <xdr:to>
      <xdr:col>7</xdr:col>
      <xdr:colOff>47625</xdr:colOff>
      <xdr:row>36</xdr:row>
      <xdr:rowOff>219075</xdr:rowOff>
    </xdr:to>
    <xdr:sp macro="" textlink="">
      <xdr:nvSpPr>
        <xdr:cNvPr id="5" name="Freeform 13">
          <a:extLst>
            <a:ext uri="{FF2B5EF4-FFF2-40B4-BE49-F238E27FC236}">
              <a16:creationId xmlns:a16="http://schemas.microsoft.com/office/drawing/2014/main" id="{B37BB92D-F2C4-4505-9861-068AC4D65821}"/>
            </a:ext>
          </a:extLst>
        </xdr:cNvPr>
        <xdr:cNvSpPr>
          <a:spLocks/>
        </xdr:cNvSpPr>
      </xdr:nvSpPr>
      <xdr:spPr bwMode="auto">
        <a:xfrm>
          <a:off x="809625" y="5095875"/>
          <a:ext cx="4572000" cy="2581275"/>
        </a:xfrm>
        <a:custGeom>
          <a:avLst/>
          <a:gdLst>
            <a:gd name="T0" fmla="*/ 0 w 415"/>
            <a:gd name="T1" fmla="*/ 0 h 244"/>
            <a:gd name="T2" fmla="*/ 0 w 415"/>
            <a:gd name="T3" fmla="*/ 2147483647 h 244"/>
            <a:gd name="T4" fmla="*/ 2147483647 w 415"/>
            <a:gd name="T5" fmla="*/ 2147483647 h 244"/>
            <a:gd name="T6" fmla="*/ 2147483647 w 415"/>
            <a:gd name="T7" fmla="*/ 2147483647 h 244"/>
            <a:gd name="T8" fmla="*/ 2147483647 w 415"/>
            <a:gd name="T9" fmla="*/ 2147483647 h 244"/>
            <a:gd name="T10" fmla="*/ 2147483647 w 415"/>
            <a:gd name="T11" fmla="*/ 2147483647 h 244"/>
            <a:gd name="T12" fmla="*/ 2147483647 w 415"/>
            <a:gd name="T13" fmla="*/ 2147483647 h 244"/>
            <a:gd name="T14" fmla="*/ 2147483647 w 415"/>
            <a:gd name="T15" fmla="*/ 2147483647 h 244"/>
            <a:gd name="T16" fmla="*/ 2147483647 w 415"/>
            <a:gd name="T17" fmla="*/ 2147483647 h 244"/>
            <a:gd name="T18" fmla="*/ 2147483647 w 415"/>
            <a:gd name="T19" fmla="*/ 2147483647 h 244"/>
            <a:gd name="T20" fmla="*/ 2147483647 w 415"/>
            <a:gd name="T21" fmla="*/ 2147483647 h 244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60000 65536"/>
            <a:gd name="T28" fmla="*/ 0 60000 65536"/>
            <a:gd name="T29" fmla="*/ 0 60000 65536"/>
            <a:gd name="T30" fmla="*/ 0 60000 65536"/>
            <a:gd name="T31" fmla="*/ 0 60000 65536"/>
            <a:gd name="T32" fmla="*/ 0 60000 65536"/>
            <a:gd name="T33" fmla="*/ 0 w 415"/>
            <a:gd name="T34" fmla="*/ 0 h 244"/>
            <a:gd name="T35" fmla="*/ 415 w 415"/>
            <a:gd name="T36" fmla="*/ 244 h 244"/>
          </a:gdLst>
          <a:ahLst/>
          <a:cxnLst>
            <a:cxn ang="T22">
              <a:pos x="T0" y="T1"/>
            </a:cxn>
            <a:cxn ang="T23">
              <a:pos x="T2" y="T3"/>
            </a:cxn>
            <a:cxn ang="T24">
              <a:pos x="T4" y="T5"/>
            </a:cxn>
            <a:cxn ang="T25">
              <a:pos x="T6" y="T7"/>
            </a:cxn>
            <a:cxn ang="T26">
              <a:pos x="T8" y="T9"/>
            </a:cxn>
            <a:cxn ang="T27">
              <a:pos x="T10" y="T11"/>
            </a:cxn>
            <a:cxn ang="T28">
              <a:pos x="T12" y="T13"/>
            </a:cxn>
            <a:cxn ang="T29">
              <a:pos x="T14" y="T15"/>
            </a:cxn>
            <a:cxn ang="T30">
              <a:pos x="T16" y="T17"/>
            </a:cxn>
            <a:cxn ang="T31">
              <a:pos x="T18" y="T19"/>
            </a:cxn>
            <a:cxn ang="T32">
              <a:pos x="T20" y="T21"/>
            </a:cxn>
          </a:cxnLst>
          <a:rect l="T33" t="T34" r="T35" b="T36"/>
          <a:pathLst>
            <a:path w="415" h="244">
              <a:moveTo>
                <a:pt x="0" y="0"/>
              </a:moveTo>
              <a:cubicBezTo>
                <a:pt x="0" y="24"/>
                <a:pt x="0" y="49"/>
                <a:pt x="0" y="65"/>
              </a:cubicBezTo>
              <a:cubicBezTo>
                <a:pt x="0" y="81"/>
                <a:pt x="0" y="81"/>
                <a:pt x="2" y="94"/>
              </a:cubicBezTo>
              <a:cubicBezTo>
                <a:pt x="4" y="107"/>
                <a:pt x="7" y="128"/>
                <a:pt x="10" y="141"/>
              </a:cubicBezTo>
              <a:cubicBezTo>
                <a:pt x="13" y="154"/>
                <a:pt x="16" y="161"/>
                <a:pt x="21" y="171"/>
              </a:cubicBezTo>
              <a:cubicBezTo>
                <a:pt x="26" y="181"/>
                <a:pt x="31" y="192"/>
                <a:pt x="38" y="201"/>
              </a:cubicBezTo>
              <a:cubicBezTo>
                <a:pt x="45" y="210"/>
                <a:pt x="52" y="221"/>
                <a:pt x="61" y="227"/>
              </a:cubicBezTo>
              <a:cubicBezTo>
                <a:pt x="70" y="233"/>
                <a:pt x="74" y="233"/>
                <a:pt x="90" y="236"/>
              </a:cubicBezTo>
              <a:cubicBezTo>
                <a:pt x="106" y="239"/>
                <a:pt x="127" y="242"/>
                <a:pt x="156" y="243"/>
              </a:cubicBezTo>
              <a:cubicBezTo>
                <a:pt x="185" y="244"/>
                <a:pt x="219" y="244"/>
                <a:pt x="262" y="244"/>
              </a:cubicBezTo>
              <a:cubicBezTo>
                <a:pt x="305" y="244"/>
                <a:pt x="360" y="244"/>
                <a:pt x="415" y="244"/>
              </a:cubicBezTo>
            </a:path>
          </a:pathLst>
        </a:custGeom>
        <a:noFill/>
        <a:ln w="38100">
          <a:solidFill>
            <a:srgbClr val="FF99CC"/>
          </a:solidFill>
          <a:round/>
          <a:headEnd/>
          <a:tailEnd/>
        </a:ln>
      </xdr:spPr>
    </xdr:sp>
    <xdr:clientData/>
  </xdr:twoCellAnchor>
  <xdr:twoCellAnchor>
    <xdr:from>
      <xdr:col>1</xdr:col>
      <xdr:colOff>95250</xdr:colOff>
      <xdr:row>25</xdr:row>
      <xdr:rowOff>171450</xdr:rowOff>
    </xdr:from>
    <xdr:to>
      <xdr:col>6</xdr:col>
      <xdr:colOff>47625</xdr:colOff>
      <xdr:row>34</xdr:row>
      <xdr:rowOff>38100</xdr:rowOff>
    </xdr:to>
    <xdr:sp macro="" textlink="">
      <xdr:nvSpPr>
        <xdr:cNvPr id="6" name="Freeform 14">
          <a:extLst>
            <a:ext uri="{FF2B5EF4-FFF2-40B4-BE49-F238E27FC236}">
              <a16:creationId xmlns:a16="http://schemas.microsoft.com/office/drawing/2014/main" id="{54CF7136-4799-4B13-9B95-32407BD0A7D7}"/>
            </a:ext>
          </a:extLst>
        </xdr:cNvPr>
        <xdr:cNvSpPr>
          <a:spLocks/>
        </xdr:cNvSpPr>
      </xdr:nvSpPr>
      <xdr:spPr bwMode="auto">
        <a:xfrm>
          <a:off x="857250" y="5114925"/>
          <a:ext cx="3762375" cy="1924050"/>
        </a:xfrm>
        <a:custGeom>
          <a:avLst/>
          <a:gdLst>
            <a:gd name="T0" fmla="*/ 0 w 377"/>
            <a:gd name="T1" fmla="*/ 0 h 177"/>
            <a:gd name="T2" fmla="*/ 2147483647 w 377"/>
            <a:gd name="T3" fmla="*/ 2147483647 h 177"/>
            <a:gd name="T4" fmla="*/ 2147483647 w 377"/>
            <a:gd name="T5" fmla="*/ 2147483647 h 177"/>
            <a:gd name="T6" fmla="*/ 2147483647 w 377"/>
            <a:gd name="T7" fmla="*/ 2147483647 h 177"/>
            <a:gd name="T8" fmla="*/ 2147483647 w 377"/>
            <a:gd name="T9" fmla="*/ 2147483647 h 177"/>
            <a:gd name="T10" fmla="*/ 2147483647 w 377"/>
            <a:gd name="T11" fmla="*/ 2147483647 h 177"/>
            <a:gd name="T12" fmla="*/ 2147483647 w 377"/>
            <a:gd name="T13" fmla="*/ 2147483647 h 177"/>
            <a:gd name="T14" fmla="*/ 2147483647 w 377"/>
            <a:gd name="T15" fmla="*/ 2147483647 h 177"/>
            <a:gd name="T16" fmla="*/ 2147483647 w 377"/>
            <a:gd name="T17" fmla="*/ 2147483647 h 177"/>
            <a:gd name="T18" fmla="*/ 2147483647 w 377"/>
            <a:gd name="T19" fmla="*/ 0 h 177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60000 65536"/>
            <a:gd name="T28" fmla="*/ 0 60000 65536"/>
            <a:gd name="T29" fmla="*/ 0 60000 65536"/>
            <a:gd name="T30" fmla="*/ 0 w 377"/>
            <a:gd name="T31" fmla="*/ 0 h 177"/>
            <a:gd name="T32" fmla="*/ 377 w 377"/>
            <a:gd name="T33" fmla="*/ 177 h 177"/>
          </a:gdLst>
          <a:ahLst/>
          <a:cxnLst>
            <a:cxn ang="T20">
              <a:pos x="T0" y="T1"/>
            </a:cxn>
            <a:cxn ang="T21">
              <a:pos x="T2" y="T3"/>
            </a:cxn>
            <a:cxn ang="T22">
              <a:pos x="T4" y="T5"/>
            </a:cxn>
            <a:cxn ang="T23">
              <a:pos x="T6" y="T7"/>
            </a:cxn>
            <a:cxn ang="T24">
              <a:pos x="T8" y="T9"/>
            </a:cxn>
            <a:cxn ang="T25">
              <a:pos x="T10" y="T11"/>
            </a:cxn>
            <a:cxn ang="T26">
              <a:pos x="T12" y="T13"/>
            </a:cxn>
            <a:cxn ang="T27">
              <a:pos x="T14" y="T15"/>
            </a:cxn>
            <a:cxn ang="T28">
              <a:pos x="T16" y="T17"/>
            </a:cxn>
            <a:cxn ang="T29">
              <a:pos x="T18" y="T19"/>
            </a:cxn>
          </a:cxnLst>
          <a:rect l="T30" t="T31" r="T32" b="T33"/>
          <a:pathLst>
            <a:path w="377" h="177">
              <a:moveTo>
                <a:pt x="0" y="0"/>
              </a:moveTo>
              <a:cubicBezTo>
                <a:pt x="0" y="20"/>
                <a:pt x="0" y="40"/>
                <a:pt x="2" y="60"/>
              </a:cubicBezTo>
              <a:cubicBezTo>
                <a:pt x="4" y="80"/>
                <a:pt x="9" y="103"/>
                <a:pt x="13" y="119"/>
              </a:cubicBezTo>
              <a:cubicBezTo>
                <a:pt x="17" y="135"/>
                <a:pt x="23" y="147"/>
                <a:pt x="27" y="156"/>
              </a:cubicBezTo>
              <a:cubicBezTo>
                <a:pt x="31" y="165"/>
                <a:pt x="34" y="169"/>
                <a:pt x="37" y="172"/>
              </a:cubicBezTo>
              <a:cubicBezTo>
                <a:pt x="40" y="175"/>
                <a:pt x="43" y="176"/>
                <a:pt x="47" y="176"/>
              </a:cubicBezTo>
              <a:cubicBezTo>
                <a:pt x="51" y="176"/>
                <a:pt x="52" y="177"/>
                <a:pt x="62" y="174"/>
              </a:cubicBezTo>
              <a:cubicBezTo>
                <a:pt x="72" y="171"/>
                <a:pt x="82" y="169"/>
                <a:pt x="109" y="155"/>
              </a:cubicBezTo>
              <a:cubicBezTo>
                <a:pt x="136" y="141"/>
                <a:pt x="179" y="115"/>
                <a:pt x="223" y="89"/>
              </a:cubicBezTo>
              <a:cubicBezTo>
                <a:pt x="267" y="63"/>
                <a:pt x="322" y="31"/>
                <a:pt x="377" y="0"/>
              </a:cubicBezTo>
            </a:path>
          </a:pathLst>
        </a:custGeom>
        <a:noFill/>
        <a:ln w="38100">
          <a:solidFill>
            <a:srgbClr val="CC99FF"/>
          </a:solidFill>
          <a:round/>
          <a:headEnd/>
          <a:tailEnd/>
        </a:ln>
      </xdr:spPr>
    </xdr:sp>
    <xdr:clientData/>
  </xdr:twoCellAnchor>
  <xdr:twoCellAnchor>
    <xdr:from>
      <xdr:col>1</xdr:col>
      <xdr:colOff>28575</xdr:colOff>
      <xdr:row>34</xdr:row>
      <xdr:rowOff>9525</xdr:rowOff>
    </xdr:from>
    <xdr:to>
      <xdr:col>1</xdr:col>
      <xdr:colOff>532575</xdr:colOff>
      <xdr:row>34</xdr:row>
      <xdr:rowOff>9525</xdr:rowOff>
    </xdr:to>
    <xdr:sp macro="" textlink="">
      <xdr:nvSpPr>
        <xdr:cNvPr id="7" name="Line 15">
          <a:extLst>
            <a:ext uri="{FF2B5EF4-FFF2-40B4-BE49-F238E27FC236}">
              <a16:creationId xmlns:a16="http://schemas.microsoft.com/office/drawing/2014/main" id="{42989B2A-D6C3-4433-AE12-ABB074B68EEF}"/>
            </a:ext>
          </a:extLst>
        </xdr:cNvPr>
        <xdr:cNvSpPr>
          <a:spLocks noChangeShapeType="1"/>
        </xdr:cNvSpPr>
      </xdr:nvSpPr>
      <xdr:spPr bwMode="auto">
        <a:xfrm>
          <a:off x="790575" y="7010400"/>
          <a:ext cx="504000" cy="0"/>
        </a:xfrm>
        <a:prstGeom prst="line">
          <a:avLst/>
        </a:prstGeom>
        <a:noFill/>
        <a:ln w="19050">
          <a:solidFill>
            <a:srgbClr val="00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1</xdr:col>
      <xdr:colOff>571500</xdr:colOff>
      <xdr:row>34</xdr:row>
      <xdr:rowOff>28575</xdr:rowOff>
    </xdr:from>
    <xdr:to>
      <xdr:col>1</xdr:col>
      <xdr:colOff>571500</xdr:colOff>
      <xdr:row>36</xdr:row>
      <xdr:rowOff>219375</xdr:rowOff>
    </xdr:to>
    <xdr:sp macro="" textlink="">
      <xdr:nvSpPr>
        <xdr:cNvPr id="8" name="Line 16">
          <a:extLst>
            <a:ext uri="{FF2B5EF4-FFF2-40B4-BE49-F238E27FC236}">
              <a16:creationId xmlns:a16="http://schemas.microsoft.com/office/drawing/2014/main" id="{0A1F63C0-7DC8-4F66-B8D5-F6516A96C05C}"/>
            </a:ext>
          </a:extLst>
        </xdr:cNvPr>
        <xdr:cNvSpPr>
          <a:spLocks noChangeShapeType="1"/>
        </xdr:cNvSpPr>
      </xdr:nvSpPr>
      <xdr:spPr bwMode="auto">
        <a:xfrm>
          <a:off x="1333500" y="7029450"/>
          <a:ext cx="0" cy="648000"/>
        </a:xfrm>
        <a:prstGeom prst="line">
          <a:avLst/>
        </a:prstGeom>
        <a:noFill/>
        <a:ln w="19050">
          <a:solidFill>
            <a:srgbClr val="000000"/>
          </a:solidFill>
          <a:prstDash val="dash"/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19050</xdr:rowOff>
    </xdr:from>
    <xdr:to>
      <xdr:col>3</xdr:col>
      <xdr:colOff>0</xdr:colOff>
      <xdr:row>37</xdr:row>
      <xdr:rowOff>47625</xdr:rowOff>
    </xdr:to>
    <xdr:sp macro="" textlink="">
      <xdr:nvSpPr>
        <xdr:cNvPr id="9" name="Line 17">
          <a:extLst>
            <a:ext uri="{FF2B5EF4-FFF2-40B4-BE49-F238E27FC236}">
              <a16:creationId xmlns:a16="http://schemas.microsoft.com/office/drawing/2014/main" id="{D4322CC5-407D-4F99-8183-27467751E467}"/>
            </a:ext>
          </a:extLst>
        </xdr:cNvPr>
        <xdr:cNvSpPr>
          <a:spLocks noChangeShapeType="1"/>
        </xdr:cNvSpPr>
      </xdr:nvSpPr>
      <xdr:spPr bwMode="auto">
        <a:xfrm>
          <a:off x="2286000" y="7705725"/>
          <a:ext cx="0" cy="28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9525</xdr:colOff>
      <xdr:row>37</xdr:row>
      <xdr:rowOff>9525</xdr:rowOff>
    </xdr:from>
    <xdr:to>
      <xdr:col>5</xdr:col>
      <xdr:colOff>9525</xdr:colOff>
      <xdr:row>37</xdr:row>
      <xdr:rowOff>57150</xdr:rowOff>
    </xdr:to>
    <xdr:sp macro="" textlink="">
      <xdr:nvSpPr>
        <xdr:cNvPr id="10" name="Line 18">
          <a:extLst>
            <a:ext uri="{FF2B5EF4-FFF2-40B4-BE49-F238E27FC236}">
              <a16:creationId xmlns:a16="http://schemas.microsoft.com/office/drawing/2014/main" id="{1A808ED5-89E8-486C-96CD-F43D637C3C31}"/>
            </a:ext>
          </a:extLst>
        </xdr:cNvPr>
        <xdr:cNvSpPr>
          <a:spLocks noChangeShapeType="1"/>
        </xdr:cNvSpPr>
      </xdr:nvSpPr>
      <xdr:spPr bwMode="auto">
        <a:xfrm>
          <a:off x="3819525" y="7696200"/>
          <a:ext cx="0" cy="47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0</xdr:colOff>
      <xdr:row>37</xdr:row>
      <xdr:rowOff>9525</xdr:rowOff>
    </xdr:from>
    <xdr:to>
      <xdr:col>7</xdr:col>
      <xdr:colOff>0</xdr:colOff>
      <xdr:row>37</xdr:row>
      <xdr:rowOff>57150</xdr:rowOff>
    </xdr:to>
    <xdr:sp macro="" textlink="">
      <xdr:nvSpPr>
        <xdr:cNvPr id="11" name="Line 19">
          <a:extLst>
            <a:ext uri="{FF2B5EF4-FFF2-40B4-BE49-F238E27FC236}">
              <a16:creationId xmlns:a16="http://schemas.microsoft.com/office/drawing/2014/main" id="{9B0DF138-EC0C-4EB5-9DE4-A37B1EE18C8B}"/>
            </a:ext>
          </a:extLst>
        </xdr:cNvPr>
        <xdr:cNvSpPr>
          <a:spLocks noChangeShapeType="1"/>
        </xdr:cNvSpPr>
      </xdr:nvSpPr>
      <xdr:spPr bwMode="auto">
        <a:xfrm>
          <a:off x="5334000" y="7696200"/>
          <a:ext cx="0" cy="47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581025</xdr:colOff>
      <xdr:row>34</xdr:row>
      <xdr:rowOff>9525</xdr:rowOff>
    </xdr:from>
    <xdr:to>
      <xdr:col>0</xdr:col>
      <xdr:colOff>619125</xdr:colOff>
      <xdr:row>34</xdr:row>
      <xdr:rowOff>9525</xdr:rowOff>
    </xdr:to>
    <xdr:sp macro="" textlink="">
      <xdr:nvSpPr>
        <xdr:cNvPr id="12" name="Line 20">
          <a:extLst>
            <a:ext uri="{FF2B5EF4-FFF2-40B4-BE49-F238E27FC236}">
              <a16:creationId xmlns:a16="http://schemas.microsoft.com/office/drawing/2014/main" id="{6C081833-2740-4B61-A77C-34B05EC03FC2}"/>
            </a:ext>
          </a:extLst>
        </xdr:cNvPr>
        <xdr:cNvSpPr>
          <a:spLocks noChangeShapeType="1"/>
        </xdr:cNvSpPr>
      </xdr:nvSpPr>
      <xdr:spPr bwMode="auto">
        <a:xfrm flipH="1">
          <a:off x="581025" y="7010400"/>
          <a:ext cx="381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581025</xdr:colOff>
      <xdr:row>29</xdr:row>
      <xdr:rowOff>19050</xdr:rowOff>
    </xdr:from>
    <xdr:to>
      <xdr:col>0</xdr:col>
      <xdr:colOff>638175</xdr:colOff>
      <xdr:row>29</xdr:row>
      <xdr:rowOff>19050</xdr:rowOff>
    </xdr:to>
    <xdr:sp macro="" textlink="">
      <xdr:nvSpPr>
        <xdr:cNvPr id="13" name="Line 22">
          <a:extLst>
            <a:ext uri="{FF2B5EF4-FFF2-40B4-BE49-F238E27FC236}">
              <a16:creationId xmlns:a16="http://schemas.microsoft.com/office/drawing/2014/main" id="{085D1EEC-7437-4C98-B495-9AE33F757B3A}"/>
            </a:ext>
          </a:extLst>
        </xdr:cNvPr>
        <xdr:cNvSpPr>
          <a:spLocks noChangeShapeType="1"/>
        </xdr:cNvSpPr>
      </xdr:nvSpPr>
      <xdr:spPr bwMode="auto">
        <a:xfrm flipH="1">
          <a:off x="581025" y="5876925"/>
          <a:ext cx="571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581025</xdr:colOff>
      <xdr:row>24</xdr:row>
      <xdr:rowOff>304800</xdr:rowOff>
    </xdr:from>
    <xdr:to>
      <xdr:col>0</xdr:col>
      <xdr:colOff>628650</xdr:colOff>
      <xdr:row>24</xdr:row>
      <xdr:rowOff>304800</xdr:rowOff>
    </xdr:to>
    <xdr:sp macro="" textlink="">
      <xdr:nvSpPr>
        <xdr:cNvPr id="14" name="Line 23">
          <a:extLst>
            <a:ext uri="{FF2B5EF4-FFF2-40B4-BE49-F238E27FC236}">
              <a16:creationId xmlns:a16="http://schemas.microsoft.com/office/drawing/2014/main" id="{A591A02C-B4CA-4869-B177-13730A9EDBD1}"/>
            </a:ext>
          </a:extLst>
        </xdr:cNvPr>
        <xdr:cNvSpPr>
          <a:spLocks noChangeShapeType="1"/>
        </xdr:cNvSpPr>
      </xdr:nvSpPr>
      <xdr:spPr bwMode="auto">
        <a:xfrm flipH="1">
          <a:off x="581025" y="4943475"/>
          <a:ext cx="476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590550</xdr:colOff>
      <xdr:row>27</xdr:row>
      <xdr:rowOff>9525</xdr:rowOff>
    </xdr:from>
    <xdr:to>
      <xdr:col>0</xdr:col>
      <xdr:colOff>628650</xdr:colOff>
      <xdr:row>27</xdr:row>
      <xdr:rowOff>9525</xdr:rowOff>
    </xdr:to>
    <xdr:sp macro="" textlink="">
      <xdr:nvSpPr>
        <xdr:cNvPr id="15" name="Line 24">
          <a:extLst>
            <a:ext uri="{FF2B5EF4-FFF2-40B4-BE49-F238E27FC236}">
              <a16:creationId xmlns:a16="http://schemas.microsoft.com/office/drawing/2014/main" id="{EB4CC33E-D906-46FE-9CE9-677AA06033D1}"/>
            </a:ext>
          </a:extLst>
        </xdr:cNvPr>
        <xdr:cNvSpPr>
          <a:spLocks noChangeShapeType="1"/>
        </xdr:cNvSpPr>
      </xdr:nvSpPr>
      <xdr:spPr bwMode="auto">
        <a:xfrm flipH="1">
          <a:off x="590550" y="5410200"/>
          <a:ext cx="381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47625</xdr:colOff>
      <xdr:row>1</xdr:row>
      <xdr:rowOff>133350</xdr:rowOff>
    </xdr:from>
    <xdr:ext cx="7505700" cy="34480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2109E0C7-2367-4D23-B2D1-9CADDCB7AE3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29075" y="323850"/>
          <a:ext cx="7505700" cy="3448050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638175</xdr:colOff>
      <xdr:row>11</xdr:row>
      <xdr:rowOff>104775</xdr:rowOff>
    </xdr:from>
    <xdr:to>
      <xdr:col>3</xdr:col>
      <xdr:colOff>581025</xdr:colOff>
      <xdr:row>14</xdr:row>
      <xdr:rowOff>71702</xdr:rowOff>
    </xdr:to>
    <xdr:pic>
      <xdr:nvPicPr>
        <xdr:cNvPr id="2" name="Picture 14">
          <a:extLst>
            <a:ext uri="{FF2B5EF4-FFF2-40B4-BE49-F238E27FC236}">
              <a16:creationId xmlns:a16="http://schemas.microsoft.com/office/drawing/2014/main" id="{4F55690D-EA04-4A31-BB74-E195788E3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162175" y="1628775"/>
          <a:ext cx="704850" cy="538427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371475</xdr:colOff>
      <xdr:row>13</xdr:row>
      <xdr:rowOff>142875</xdr:rowOff>
    </xdr:from>
    <xdr:to>
      <xdr:col>7</xdr:col>
      <xdr:colOff>447675</xdr:colOff>
      <xdr:row>14</xdr:row>
      <xdr:rowOff>152401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C5CDAE76-5CAD-44E4-8F0D-EE6A464D417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/>
        <a:srcRect l="26235" t="2440" r="26616" b="46341"/>
        <a:stretch/>
      </xdr:blipFill>
      <xdr:spPr bwMode="auto">
        <a:xfrm>
          <a:off x="3419475" y="2057400"/>
          <a:ext cx="2362200" cy="200026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4</xdr:col>
      <xdr:colOff>647700</xdr:colOff>
      <xdr:row>17</xdr:row>
      <xdr:rowOff>9525</xdr:rowOff>
    </xdr:from>
    <xdr:to>
      <xdr:col>5</xdr:col>
      <xdr:colOff>733425</xdr:colOff>
      <xdr:row>19</xdr:row>
      <xdr:rowOff>44819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92F40819-6665-4719-9742-750ECB10B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3695700" y="2686050"/>
          <a:ext cx="847725" cy="41629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533400</xdr:colOff>
      <xdr:row>0</xdr:row>
      <xdr:rowOff>0</xdr:rowOff>
    </xdr:from>
    <xdr:to>
      <xdr:col>7</xdr:col>
      <xdr:colOff>599440</xdr:colOff>
      <xdr:row>11</xdr:row>
      <xdr:rowOff>12065</xdr:rowOff>
    </xdr:to>
    <xdr:pic>
      <xdr:nvPicPr>
        <xdr:cNvPr id="5" name="image1.jp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 rotWithShape="1">
        <a:blip xmlns:r="http://schemas.openxmlformats.org/officeDocument/2006/relationships" r:embed="rId4" cstate="print"/>
        <a:srcRect t="12978"/>
        <a:stretch/>
      </xdr:blipFill>
      <xdr:spPr bwMode="auto">
        <a:xfrm>
          <a:off x="533400" y="0"/>
          <a:ext cx="5400040" cy="210756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638175</xdr:colOff>
      <xdr:row>10</xdr:row>
      <xdr:rowOff>104775</xdr:rowOff>
    </xdr:from>
    <xdr:to>
      <xdr:col>3</xdr:col>
      <xdr:colOff>581025</xdr:colOff>
      <xdr:row>13</xdr:row>
      <xdr:rowOff>71702</xdr:rowOff>
    </xdr:to>
    <xdr:pic>
      <xdr:nvPicPr>
        <xdr:cNvPr id="2" name="Picture 14">
          <a:extLst>
            <a:ext uri="{FF2B5EF4-FFF2-40B4-BE49-F238E27FC236}">
              <a16:creationId xmlns:a16="http://schemas.microsoft.com/office/drawing/2014/main" id="{E30E5E75-3386-4AFE-A7BF-EA8A1AB3B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223135" y="2116455"/>
          <a:ext cx="735330" cy="530807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647700</xdr:colOff>
      <xdr:row>16</xdr:row>
      <xdr:rowOff>9525</xdr:rowOff>
    </xdr:from>
    <xdr:to>
      <xdr:col>5</xdr:col>
      <xdr:colOff>733425</xdr:colOff>
      <xdr:row>18</xdr:row>
      <xdr:rowOff>44819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3FD863EB-4C45-44E0-9B33-5F46E0813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3817620" y="3133725"/>
          <a:ext cx="878205" cy="401054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328559</xdr:colOff>
      <xdr:row>68</xdr:row>
      <xdr:rowOff>39879</xdr:rowOff>
    </xdr:from>
    <xdr:to>
      <xdr:col>7</xdr:col>
      <xdr:colOff>641350</xdr:colOff>
      <xdr:row>79</xdr:row>
      <xdr:rowOff>157443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5611F1EA-DAB6-4E4A-82D9-B63A59B43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3859" y="12567159"/>
          <a:ext cx="4717151" cy="212924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DEGIOR/Desktop/Pablo/UTN%20-%20Inv.%20Operativa/Ejercicios/Simulaci&#243;n/Simulaci&#243;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rcazas (4)"/>
      <sheetName val="barcazas (Tarea)"/>
      <sheetName val="Ejercicio (2)"/>
      <sheetName val="LAVADERO"/>
      <sheetName val="barcazas (2)"/>
      <sheetName val="Hoja1 (2)"/>
      <sheetName val="stock (2)"/>
      <sheetName val="Hoja1"/>
      <sheetName val="barcazas"/>
      <sheetName val="Aleatorios"/>
      <sheetName val="stock"/>
      <sheetName val="Repaso1"/>
      <sheetName val="Ejercicio"/>
      <sheetName val="Repaso1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Q3">
            <v>1</v>
          </cell>
          <cell r="R3">
            <v>0</v>
          </cell>
        </row>
        <row r="4">
          <cell r="Q4" t="str">
            <v>2</v>
          </cell>
          <cell r="R4">
            <v>0</v>
          </cell>
        </row>
        <row r="5">
          <cell r="Q5" t="str">
            <v>3</v>
          </cell>
          <cell r="R5">
            <v>0</v>
          </cell>
        </row>
        <row r="6">
          <cell r="Q6" t="str">
            <v>4</v>
          </cell>
          <cell r="R6">
            <v>0</v>
          </cell>
        </row>
        <row r="7">
          <cell r="Q7" t="str">
            <v>5</v>
          </cell>
          <cell r="R7">
            <v>0</v>
          </cell>
        </row>
        <row r="8">
          <cell r="Q8" t="str">
            <v>6</v>
          </cell>
          <cell r="R8">
            <v>1</v>
          </cell>
        </row>
        <row r="9">
          <cell r="Q9" t="str">
            <v>7</v>
          </cell>
          <cell r="R9">
            <v>1</v>
          </cell>
        </row>
        <row r="10">
          <cell r="Q10" t="str">
            <v>8</v>
          </cell>
          <cell r="R10">
            <v>1</v>
          </cell>
        </row>
        <row r="11">
          <cell r="Q11" t="str">
            <v>9</v>
          </cell>
          <cell r="R11">
            <v>1</v>
          </cell>
        </row>
        <row r="12">
          <cell r="Q12" t="str">
            <v>10</v>
          </cell>
          <cell r="R12">
            <v>1</v>
          </cell>
        </row>
        <row r="13">
          <cell r="Q13" t="str">
            <v>11</v>
          </cell>
          <cell r="R13">
            <v>1</v>
          </cell>
        </row>
        <row r="14">
          <cell r="Q14" t="str">
            <v>12</v>
          </cell>
          <cell r="R14">
            <v>1</v>
          </cell>
        </row>
        <row r="15">
          <cell r="Q15" t="str">
            <v>13</v>
          </cell>
          <cell r="R15">
            <v>1</v>
          </cell>
        </row>
        <row r="16">
          <cell r="Q16" t="str">
            <v>14</v>
          </cell>
          <cell r="R16">
            <v>1</v>
          </cell>
        </row>
        <row r="17">
          <cell r="Q17" t="str">
            <v>15</v>
          </cell>
          <cell r="R17">
            <v>1</v>
          </cell>
        </row>
        <row r="18">
          <cell r="Q18" t="str">
            <v>16</v>
          </cell>
          <cell r="R18">
            <v>2</v>
          </cell>
        </row>
        <row r="19">
          <cell r="Q19" t="str">
            <v>17</v>
          </cell>
          <cell r="R19">
            <v>2</v>
          </cell>
        </row>
        <row r="20">
          <cell r="Q20" t="str">
            <v>18</v>
          </cell>
          <cell r="R20">
            <v>2</v>
          </cell>
        </row>
        <row r="21">
          <cell r="Q21" t="str">
            <v>19</v>
          </cell>
          <cell r="R21">
            <v>2</v>
          </cell>
        </row>
        <row r="22">
          <cell r="Q22" t="str">
            <v>20</v>
          </cell>
          <cell r="R22">
            <v>2</v>
          </cell>
        </row>
        <row r="23">
          <cell r="Q23" t="str">
            <v>21</v>
          </cell>
          <cell r="R23">
            <v>2</v>
          </cell>
        </row>
        <row r="24">
          <cell r="Q24" t="str">
            <v>22</v>
          </cell>
          <cell r="R24">
            <v>2</v>
          </cell>
        </row>
        <row r="25">
          <cell r="Q25" t="str">
            <v>23</v>
          </cell>
          <cell r="R25">
            <v>2</v>
          </cell>
        </row>
        <row r="26">
          <cell r="Q26" t="str">
            <v>24</v>
          </cell>
          <cell r="R26">
            <v>2</v>
          </cell>
        </row>
        <row r="27">
          <cell r="Q27" t="str">
            <v>25</v>
          </cell>
          <cell r="R27">
            <v>2</v>
          </cell>
        </row>
        <row r="28">
          <cell r="Q28" t="str">
            <v>26</v>
          </cell>
          <cell r="R28">
            <v>2</v>
          </cell>
        </row>
        <row r="29">
          <cell r="Q29" t="str">
            <v>27</v>
          </cell>
          <cell r="R29">
            <v>2</v>
          </cell>
        </row>
        <row r="30">
          <cell r="Q30" t="str">
            <v>28</v>
          </cell>
          <cell r="R30">
            <v>2</v>
          </cell>
        </row>
        <row r="31">
          <cell r="Q31" t="str">
            <v>29</v>
          </cell>
          <cell r="R31">
            <v>2</v>
          </cell>
        </row>
        <row r="32">
          <cell r="Q32" t="str">
            <v>30</v>
          </cell>
          <cell r="R32">
            <v>2</v>
          </cell>
        </row>
        <row r="33">
          <cell r="Q33" t="str">
            <v>31</v>
          </cell>
          <cell r="R33">
            <v>2</v>
          </cell>
        </row>
        <row r="34">
          <cell r="Q34" t="str">
            <v>32</v>
          </cell>
          <cell r="R34">
            <v>2</v>
          </cell>
        </row>
        <row r="35">
          <cell r="Q35" t="str">
            <v>33</v>
          </cell>
          <cell r="R35">
            <v>2</v>
          </cell>
        </row>
        <row r="36">
          <cell r="Q36" t="str">
            <v>34</v>
          </cell>
          <cell r="R36">
            <v>2</v>
          </cell>
        </row>
        <row r="37">
          <cell r="Q37" t="str">
            <v>35</v>
          </cell>
          <cell r="R37">
            <v>2</v>
          </cell>
        </row>
        <row r="38">
          <cell r="Q38" t="str">
            <v>36</v>
          </cell>
          <cell r="R38">
            <v>3</v>
          </cell>
        </row>
        <row r="39">
          <cell r="Q39" t="str">
            <v>37</v>
          </cell>
          <cell r="R39">
            <v>3</v>
          </cell>
        </row>
        <row r="40">
          <cell r="Q40" t="str">
            <v>38</v>
          </cell>
          <cell r="R40">
            <v>3</v>
          </cell>
        </row>
        <row r="41">
          <cell r="Q41" t="str">
            <v>39</v>
          </cell>
          <cell r="R41">
            <v>3</v>
          </cell>
        </row>
        <row r="42">
          <cell r="Q42" t="str">
            <v>40</v>
          </cell>
          <cell r="R42">
            <v>3</v>
          </cell>
        </row>
        <row r="43">
          <cell r="Q43" t="str">
            <v>41</v>
          </cell>
          <cell r="R43">
            <v>3</v>
          </cell>
        </row>
        <row r="44">
          <cell r="Q44" t="str">
            <v>42</v>
          </cell>
          <cell r="R44">
            <v>3</v>
          </cell>
        </row>
        <row r="45">
          <cell r="Q45" t="str">
            <v>43</v>
          </cell>
          <cell r="R45">
            <v>3</v>
          </cell>
        </row>
        <row r="46">
          <cell r="Q46" t="str">
            <v>44</v>
          </cell>
          <cell r="R46">
            <v>3</v>
          </cell>
        </row>
        <row r="47">
          <cell r="Q47" t="str">
            <v>45</v>
          </cell>
          <cell r="R47">
            <v>3</v>
          </cell>
        </row>
        <row r="48">
          <cell r="Q48" t="str">
            <v>46</v>
          </cell>
          <cell r="R48">
            <v>3</v>
          </cell>
        </row>
        <row r="49">
          <cell r="Q49" t="str">
            <v>47</v>
          </cell>
          <cell r="R49">
            <v>3</v>
          </cell>
        </row>
        <row r="50">
          <cell r="Q50" t="str">
            <v>48</v>
          </cell>
          <cell r="R50">
            <v>3</v>
          </cell>
        </row>
        <row r="51">
          <cell r="Q51" t="str">
            <v>49</v>
          </cell>
          <cell r="R51">
            <v>3</v>
          </cell>
        </row>
        <row r="52">
          <cell r="Q52" t="str">
            <v>50</v>
          </cell>
          <cell r="R52">
            <v>3</v>
          </cell>
        </row>
        <row r="53">
          <cell r="Q53" t="str">
            <v>51</v>
          </cell>
          <cell r="R53">
            <v>3</v>
          </cell>
        </row>
        <row r="54">
          <cell r="Q54" t="str">
            <v>52</v>
          </cell>
          <cell r="R54">
            <v>3</v>
          </cell>
        </row>
        <row r="55">
          <cell r="Q55" t="str">
            <v>53</v>
          </cell>
          <cell r="R55">
            <v>3</v>
          </cell>
        </row>
        <row r="56">
          <cell r="Q56" t="str">
            <v>54</v>
          </cell>
          <cell r="R56">
            <v>3</v>
          </cell>
        </row>
        <row r="57">
          <cell r="Q57" t="str">
            <v>55</v>
          </cell>
          <cell r="R57">
            <v>3</v>
          </cell>
        </row>
        <row r="58">
          <cell r="Q58" t="str">
            <v>56</v>
          </cell>
          <cell r="R58">
            <v>3</v>
          </cell>
        </row>
        <row r="59">
          <cell r="Q59" t="str">
            <v>57</v>
          </cell>
          <cell r="R59">
            <v>3</v>
          </cell>
        </row>
        <row r="60">
          <cell r="Q60" t="str">
            <v>58</v>
          </cell>
          <cell r="R60">
            <v>3</v>
          </cell>
        </row>
        <row r="61">
          <cell r="Q61" t="str">
            <v>59</v>
          </cell>
          <cell r="R61">
            <v>3</v>
          </cell>
        </row>
        <row r="62">
          <cell r="Q62" t="str">
            <v>60</v>
          </cell>
          <cell r="R62">
            <v>3</v>
          </cell>
        </row>
        <row r="63">
          <cell r="Q63" t="str">
            <v>61</v>
          </cell>
          <cell r="R63">
            <v>3</v>
          </cell>
        </row>
        <row r="64">
          <cell r="Q64" t="str">
            <v>62</v>
          </cell>
          <cell r="R64">
            <v>3</v>
          </cell>
        </row>
        <row r="65">
          <cell r="Q65" t="str">
            <v>63</v>
          </cell>
          <cell r="R65">
            <v>3</v>
          </cell>
        </row>
        <row r="66">
          <cell r="Q66" t="str">
            <v>64</v>
          </cell>
          <cell r="R66">
            <v>3</v>
          </cell>
        </row>
        <row r="67">
          <cell r="Q67" t="str">
            <v>65</v>
          </cell>
          <cell r="R67">
            <v>3</v>
          </cell>
        </row>
        <row r="68">
          <cell r="Q68" t="str">
            <v>66</v>
          </cell>
          <cell r="R68">
            <v>4</v>
          </cell>
        </row>
        <row r="69">
          <cell r="Q69" t="str">
            <v>67</v>
          </cell>
          <cell r="R69">
            <v>4</v>
          </cell>
        </row>
        <row r="70">
          <cell r="Q70" t="str">
            <v>68</v>
          </cell>
          <cell r="R70">
            <v>4</v>
          </cell>
        </row>
        <row r="71">
          <cell r="Q71" t="str">
            <v>69</v>
          </cell>
          <cell r="R71">
            <v>4</v>
          </cell>
        </row>
        <row r="72">
          <cell r="Q72" t="str">
            <v>70</v>
          </cell>
          <cell r="R72">
            <v>4</v>
          </cell>
        </row>
        <row r="73">
          <cell r="Q73" t="str">
            <v>71</v>
          </cell>
          <cell r="R73">
            <v>4</v>
          </cell>
        </row>
        <row r="74">
          <cell r="Q74" t="str">
            <v>72</v>
          </cell>
          <cell r="R74">
            <v>4</v>
          </cell>
        </row>
        <row r="75">
          <cell r="Q75" t="str">
            <v>73</v>
          </cell>
          <cell r="R75">
            <v>4</v>
          </cell>
        </row>
        <row r="76">
          <cell r="Q76" t="str">
            <v>74</v>
          </cell>
          <cell r="R76">
            <v>4</v>
          </cell>
        </row>
        <row r="77">
          <cell r="Q77" t="str">
            <v>75</v>
          </cell>
          <cell r="R77">
            <v>4</v>
          </cell>
        </row>
        <row r="78">
          <cell r="Q78" t="str">
            <v>76</v>
          </cell>
          <cell r="R78">
            <v>4</v>
          </cell>
        </row>
        <row r="79">
          <cell r="Q79" t="str">
            <v>77</v>
          </cell>
          <cell r="R79">
            <v>4</v>
          </cell>
        </row>
        <row r="80">
          <cell r="Q80" t="str">
            <v>78</v>
          </cell>
          <cell r="R80">
            <v>4</v>
          </cell>
        </row>
        <row r="81">
          <cell r="Q81" t="str">
            <v>79</v>
          </cell>
          <cell r="R81">
            <v>4</v>
          </cell>
        </row>
        <row r="82">
          <cell r="Q82" t="str">
            <v>80</v>
          </cell>
          <cell r="R82">
            <v>4</v>
          </cell>
        </row>
        <row r="83">
          <cell r="Q83" t="str">
            <v>81</v>
          </cell>
          <cell r="R83">
            <v>4</v>
          </cell>
        </row>
        <row r="84">
          <cell r="Q84" t="str">
            <v>82</v>
          </cell>
          <cell r="R84">
            <v>4</v>
          </cell>
        </row>
        <row r="85">
          <cell r="Q85" t="str">
            <v>83</v>
          </cell>
          <cell r="R85">
            <v>4</v>
          </cell>
        </row>
        <row r="86">
          <cell r="Q86" t="str">
            <v>84</v>
          </cell>
          <cell r="R86">
            <v>4</v>
          </cell>
        </row>
        <row r="87">
          <cell r="Q87" t="str">
            <v>85</v>
          </cell>
          <cell r="R87">
            <v>4</v>
          </cell>
        </row>
        <row r="88">
          <cell r="Q88" t="str">
            <v>86</v>
          </cell>
          <cell r="R88">
            <v>5</v>
          </cell>
        </row>
        <row r="89">
          <cell r="Q89" t="str">
            <v>87</v>
          </cell>
          <cell r="R89">
            <v>5</v>
          </cell>
        </row>
        <row r="90">
          <cell r="Q90" t="str">
            <v>88</v>
          </cell>
          <cell r="R90">
            <v>5</v>
          </cell>
        </row>
        <row r="91">
          <cell r="Q91" t="str">
            <v>89</v>
          </cell>
          <cell r="R91">
            <v>5</v>
          </cell>
        </row>
        <row r="92">
          <cell r="Q92" t="str">
            <v>90</v>
          </cell>
          <cell r="R92">
            <v>5</v>
          </cell>
        </row>
        <row r="93">
          <cell r="Q93" t="str">
            <v>91</v>
          </cell>
          <cell r="R93">
            <v>5</v>
          </cell>
        </row>
        <row r="94">
          <cell r="Q94" t="str">
            <v>92</v>
          </cell>
          <cell r="R94">
            <v>5</v>
          </cell>
        </row>
        <row r="95">
          <cell r="Q95" t="str">
            <v>93</v>
          </cell>
          <cell r="R95">
            <v>5</v>
          </cell>
        </row>
        <row r="96">
          <cell r="Q96" t="str">
            <v>94</v>
          </cell>
          <cell r="R96">
            <v>5</v>
          </cell>
        </row>
        <row r="97">
          <cell r="Q97" t="str">
            <v>95</v>
          </cell>
          <cell r="R97">
            <v>5</v>
          </cell>
        </row>
        <row r="98">
          <cell r="Q98" t="str">
            <v>96</v>
          </cell>
          <cell r="R98">
            <v>5</v>
          </cell>
        </row>
        <row r="99">
          <cell r="Q99" t="str">
            <v>97</v>
          </cell>
          <cell r="R99">
            <v>5</v>
          </cell>
        </row>
        <row r="100">
          <cell r="Q100" t="str">
            <v>98</v>
          </cell>
          <cell r="R100">
            <v>5</v>
          </cell>
        </row>
        <row r="101">
          <cell r="Q101" t="str">
            <v>99</v>
          </cell>
          <cell r="R101">
            <v>5</v>
          </cell>
        </row>
        <row r="102">
          <cell r="Q102" t="str">
            <v>100</v>
          </cell>
          <cell r="R102">
            <v>5</v>
          </cell>
        </row>
      </sheetData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7E797-77AD-4BDC-BC3A-0CCEA77FE0E4}">
  <dimension ref="B20:D29"/>
  <sheetViews>
    <sheetView showGridLines="0" tabSelected="1" topLeftCell="A10" workbookViewId="0">
      <selection activeCell="G22" sqref="G22"/>
    </sheetView>
  </sheetViews>
  <sheetFormatPr baseColWidth="10" defaultRowHeight="14.4" x14ac:dyDescent="0.3"/>
  <cols>
    <col min="2" max="2" width="14.6640625" bestFit="1" customWidth="1"/>
  </cols>
  <sheetData>
    <row r="20" spans="2:4" x14ac:dyDescent="0.3">
      <c r="B20" t="s">
        <v>33</v>
      </c>
    </row>
    <row r="21" spans="2:4" x14ac:dyDescent="0.3">
      <c r="B21">
        <v>3600</v>
      </c>
      <c r="C21" s="18"/>
      <c r="D21">
        <v>600</v>
      </c>
    </row>
    <row r="22" spans="2:4" x14ac:dyDescent="0.3">
      <c r="B22">
        <v>720</v>
      </c>
      <c r="C22" s="19"/>
      <c r="D22" s="20">
        <f>+D21*B22/B21</f>
        <v>120</v>
      </c>
    </row>
    <row r="25" spans="2:4" x14ac:dyDescent="0.3">
      <c r="B25" t="s">
        <v>36</v>
      </c>
    </row>
    <row r="26" spans="2:4" x14ac:dyDescent="0.3">
      <c r="B26" t="s">
        <v>37</v>
      </c>
      <c r="C26" s="20">
        <f>600/D22</f>
        <v>5</v>
      </c>
    </row>
    <row r="28" spans="2:4" x14ac:dyDescent="0.3">
      <c r="B28" t="s">
        <v>35</v>
      </c>
    </row>
    <row r="29" spans="2:4" x14ac:dyDescent="0.3">
      <c r="B29" t="s">
        <v>34</v>
      </c>
      <c r="C29" s="21">
        <f>720/5</f>
        <v>144</v>
      </c>
    </row>
  </sheetData>
  <pageMargins left="0.7" right="0.7" top="0.75" bottom="0.75" header="0.3" footer="0.3"/>
  <headerFooter>
    <oddHeader>&amp;R&amp;"Calibri"&amp;10&amp;K000000 Documento: Personal&amp;1#_x000D_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9B4C0-AC63-4ED2-ACC9-531D98D0DBF7}">
  <dimension ref="A2:I39"/>
  <sheetViews>
    <sheetView showGridLines="0" workbookViewId="0">
      <selection activeCell="I8" sqref="I8"/>
    </sheetView>
  </sheetViews>
  <sheetFormatPr baseColWidth="10" defaultRowHeight="14.4" x14ac:dyDescent="0.3"/>
  <sheetData>
    <row r="2" spans="2:9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9" x14ac:dyDescent="0.3">
      <c r="B3" s="2">
        <v>360</v>
      </c>
      <c r="C3" s="2">
        <v>1200</v>
      </c>
      <c r="D3" s="2">
        <v>20</v>
      </c>
      <c r="E3" s="1">
        <v>187.5</v>
      </c>
      <c r="F3" s="2">
        <v>1</v>
      </c>
      <c r="G3" s="1">
        <f>0.5*C3*D3</f>
        <v>12000</v>
      </c>
      <c r="H3" s="1">
        <f>+E3*F3</f>
        <v>187.5</v>
      </c>
      <c r="I3" s="3">
        <f>+G3+H3</f>
        <v>12187.5</v>
      </c>
    </row>
    <row r="4" spans="2:9" x14ac:dyDescent="0.3">
      <c r="B4" s="2">
        <v>180</v>
      </c>
      <c r="C4" s="1">
        <f>+$C$3/F4</f>
        <v>600</v>
      </c>
      <c r="D4" s="1">
        <v>20</v>
      </c>
      <c r="E4" s="1">
        <v>187.5</v>
      </c>
      <c r="F4" s="1">
        <f>+$B$3/B4</f>
        <v>2</v>
      </c>
      <c r="G4" s="1">
        <f t="shared" ref="G4:G7" si="0">0.5*C4*D4</f>
        <v>6000</v>
      </c>
      <c r="H4" s="1">
        <f t="shared" ref="H4:H7" si="1">+E4*F4</f>
        <v>375</v>
      </c>
      <c r="I4" s="1">
        <f t="shared" ref="I4:I7" si="2">+G4+H4</f>
        <v>6375</v>
      </c>
    </row>
    <row r="5" spans="2:9" x14ac:dyDescent="0.3">
      <c r="B5" s="2">
        <v>90</v>
      </c>
      <c r="C5" s="1">
        <f>+$C$3/F5</f>
        <v>300</v>
      </c>
      <c r="D5" s="1">
        <v>20</v>
      </c>
      <c r="E5" s="1">
        <v>187.5</v>
      </c>
      <c r="F5" s="1">
        <f>+$B$3/B5</f>
        <v>4</v>
      </c>
      <c r="G5" s="1">
        <f t="shared" si="0"/>
        <v>3000</v>
      </c>
      <c r="H5" s="1">
        <f t="shared" si="1"/>
        <v>750</v>
      </c>
      <c r="I5" s="1">
        <f t="shared" si="2"/>
        <v>3750</v>
      </c>
    </row>
    <row r="6" spans="2:9" x14ac:dyDescent="0.3">
      <c r="B6" s="2">
        <v>60</v>
      </c>
      <c r="C6" s="1">
        <f>+$C$3/F6</f>
        <v>200</v>
      </c>
      <c r="D6" s="1">
        <v>20</v>
      </c>
      <c r="E6" s="1">
        <v>187.5</v>
      </c>
      <c r="F6" s="1">
        <f>+$B$3/B6</f>
        <v>6</v>
      </c>
      <c r="G6" s="1">
        <f t="shared" si="0"/>
        <v>2000</v>
      </c>
      <c r="H6" s="1">
        <f t="shared" si="1"/>
        <v>1125</v>
      </c>
      <c r="I6" s="1">
        <f t="shared" si="2"/>
        <v>3125</v>
      </c>
    </row>
    <row r="7" spans="2:9" x14ac:dyDescent="0.3">
      <c r="B7" s="2">
        <v>30</v>
      </c>
      <c r="C7" s="1">
        <f>+$C$3/F7</f>
        <v>100</v>
      </c>
      <c r="D7" s="1">
        <v>20</v>
      </c>
      <c r="E7" s="1">
        <v>187.5</v>
      </c>
      <c r="F7" s="1">
        <f>+$B$3/B7</f>
        <v>12</v>
      </c>
      <c r="G7" s="1">
        <f t="shared" si="0"/>
        <v>1000</v>
      </c>
      <c r="H7" s="1">
        <f t="shared" si="1"/>
        <v>2250</v>
      </c>
      <c r="I7" s="1">
        <f t="shared" si="2"/>
        <v>3250</v>
      </c>
    </row>
    <row r="9" spans="2:9" x14ac:dyDescent="0.3">
      <c r="B9" s="4">
        <v>45</v>
      </c>
      <c r="C9" s="4">
        <v>150</v>
      </c>
      <c r="D9" s="4">
        <v>20</v>
      </c>
      <c r="E9" s="4">
        <v>187.5</v>
      </c>
      <c r="F9" s="4">
        <v>8</v>
      </c>
      <c r="G9" s="4">
        <v>1500</v>
      </c>
      <c r="H9" s="4">
        <v>1500</v>
      </c>
      <c r="I9" s="5">
        <v>3000</v>
      </c>
    </row>
    <row r="10" spans="2:9" x14ac:dyDescent="0.3">
      <c r="B10" s="76" t="s">
        <v>8</v>
      </c>
      <c r="C10" s="77"/>
      <c r="D10" s="77"/>
      <c r="E10" s="77"/>
      <c r="F10" s="77"/>
      <c r="G10" s="77"/>
      <c r="H10" s="77"/>
      <c r="I10" s="78"/>
    </row>
    <row r="12" spans="2:9" x14ac:dyDescent="0.3">
      <c r="B12" t="s">
        <v>9</v>
      </c>
      <c r="D12" t="s">
        <v>10</v>
      </c>
      <c r="F12" t="s">
        <v>11</v>
      </c>
      <c r="H12" t="s">
        <v>12</v>
      </c>
    </row>
    <row r="13" spans="2:9" x14ac:dyDescent="0.3">
      <c r="D13" t="s">
        <v>13</v>
      </c>
      <c r="F13">
        <v>20</v>
      </c>
    </row>
    <row r="15" spans="2:9" x14ac:dyDescent="0.3">
      <c r="B15" t="s">
        <v>14</v>
      </c>
      <c r="D15" t="s">
        <v>15</v>
      </c>
      <c r="E15" t="s">
        <v>16</v>
      </c>
      <c r="G15" t="s">
        <v>17</v>
      </c>
    </row>
    <row r="17" spans="1:9" x14ac:dyDescent="0.3">
      <c r="B17" t="s">
        <v>18</v>
      </c>
      <c r="D17" t="s">
        <v>19</v>
      </c>
      <c r="E17" s="6" t="s">
        <v>20</v>
      </c>
      <c r="F17" s="7">
        <f>1500/8</f>
        <v>187.5</v>
      </c>
    </row>
    <row r="19" spans="1:9" ht="16.2" x14ac:dyDescent="0.3">
      <c r="B19" t="s">
        <v>21</v>
      </c>
      <c r="D19" t="s">
        <v>22</v>
      </c>
      <c r="F19" t="s">
        <v>23</v>
      </c>
      <c r="H19" s="6" t="s">
        <v>24</v>
      </c>
      <c r="I19" s="7">
        <f>22500*20/2400</f>
        <v>187.5</v>
      </c>
    </row>
    <row r="20" spans="1:9" x14ac:dyDescent="0.3">
      <c r="B20" t="s">
        <v>25</v>
      </c>
      <c r="D20">
        <v>20</v>
      </c>
      <c r="F20">
        <v>2400</v>
      </c>
    </row>
    <row r="23" spans="1:9" ht="17.399999999999999" x14ac:dyDescent="0.3">
      <c r="I23" s="8"/>
    </row>
    <row r="24" spans="1:9" ht="17.399999999999999" x14ac:dyDescent="0.3">
      <c r="A24" s="9" t="s">
        <v>26</v>
      </c>
      <c r="B24" s="8"/>
      <c r="C24" s="8"/>
      <c r="D24" s="8"/>
      <c r="E24" s="8"/>
      <c r="F24" s="8"/>
      <c r="G24" s="8"/>
      <c r="H24" s="8"/>
      <c r="I24" s="8"/>
    </row>
    <row r="25" spans="1:9" ht="17.399999999999999" x14ac:dyDescent="0.3">
      <c r="A25" s="10">
        <v>12000</v>
      </c>
      <c r="B25" s="8"/>
      <c r="C25" s="8"/>
      <c r="D25" s="8"/>
      <c r="E25" s="8"/>
      <c r="F25" s="8"/>
      <c r="G25" s="11"/>
      <c r="H25" s="8"/>
      <c r="I25" s="8"/>
    </row>
    <row r="26" spans="1:9" ht="17.399999999999999" x14ac:dyDescent="0.3">
      <c r="B26" s="8"/>
      <c r="C26" s="8"/>
      <c r="D26" s="8"/>
      <c r="E26" s="8"/>
      <c r="F26" s="12" t="s">
        <v>27</v>
      </c>
      <c r="G26" s="8"/>
      <c r="H26" s="11"/>
      <c r="I26" s="8"/>
    </row>
    <row r="27" spans="1:9" ht="17.399999999999999" x14ac:dyDescent="0.3">
      <c r="A27" s="10" t="s">
        <v>28</v>
      </c>
      <c r="B27" s="8"/>
      <c r="C27" s="8"/>
      <c r="D27" s="8"/>
      <c r="E27" s="8"/>
      <c r="F27" s="8"/>
      <c r="G27" s="11" t="s">
        <v>5</v>
      </c>
      <c r="H27" s="8"/>
      <c r="I27" s="8"/>
    </row>
    <row r="28" spans="1:9" ht="17.399999999999999" x14ac:dyDescent="0.3">
      <c r="A28" s="10"/>
      <c r="B28" s="8"/>
      <c r="C28" s="8"/>
      <c r="D28" s="8"/>
      <c r="E28" s="12"/>
      <c r="F28" s="8"/>
      <c r="G28" s="8"/>
      <c r="H28" s="8"/>
      <c r="I28" s="8"/>
    </row>
    <row r="29" spans="1:9" ht="17.399999999999999" x14ac:dyDescent="0.3">
      <c r="A29" s="10" t="s">
        <v>28</v>
      </c>
      <c r="B29" s="8"/>
      <c r="C29" s="8"/>
      <c r="D29" s="8"/>
      <c r="E29" s="8"/>
      <c r="F29" s="8"/>
      <c r="G29" s="8"/>
      <c r="H29" s="8"/>
      <c r="I29" s="8"/>
    </row>
    <row r="30" spans="1:9" ht="17.399999999999999" x14ac:dyDescent="0.3">
      <c r="A30" s="10"/>
      <c r="B30" s="8"/>
      <c r="C30" s="8"/>
      <c r="D30" s="8"/>
      <c r="E30" s="8"/>
      <c r="F30" s="8"/>
      <c r="G30" s="8"/>
      <c r="H30" s="8"/>
      <c r="I30" s="8"/>
    </row>
    <row r="31" spans="1:9" ht="17.399999999999999" x14ac:dyDescent="0.3">
      <c r="A31" s="10">
        <v>6000</v>
      </c>
      <c r="B31" s="8"/>
      <c r="C31" s="8"/>
      <c r="D31" s="8"/>
      <c r="E31" s="8"/>
      <c r="F31" s="8"/>
      <c r="G31" s="8"/>
      <c r="H31" s="8"/>
      <c r="I31" s="8"/>
    </row>
    <row r="32" spans="1:9" ht="17.399999999999999" x14ac:dyDescent="0.3">
      <c r="B32" s="8"/>
      <c r="C32" s="8"/>
      <c r="D32" s="8"/>
      <c r="E32" s="8"/>
      <c r="F32" s="8"/>
      <c r="G32" s="8"/>
      <c r="H32" s="8"/>
      <c r="I32" s="8"/>
    </row>
    <row r="33" spans="1:9" ht="17.399999999999999" x14ac:dyDescent="0.3">
      <c r="A33" s="13" t="s">
        <v>29</v>
      </c>
      <c r="B33" s="8"/>
      <c r="C33" s="8"/>
      <c r="D33" s="8"/>
      <c r="E33" s="8"/>
      <c r="F33" s="8"/>
      <c r="G33" s="8"/>
      <c r="H33" s="8"/>
      <c r="I33" s="8"/>
    </row>
    <row r="34" spans="1:9" ht="17.399999999999999" x14ac:dyDescent="0.3">
      <c r="A34" s="10">
        <v>3000</v>
      </c>
      <c r="B34" s="8"/>
      <c r="C34" s="8"/>
      <c r="D34" s="8"/>
      <c r="E34" s="8"/>
      <c r="F34" s="8"/>
      <c r="G34" s="8"/>
      <c r="H34" s="8"/>
      <c r="I34" s="8"/>
    </row>
    <row r="35" spans="1:9" ht="17.399999999999999" x14ac:dyDescent="0.3">
      <c r="A35" s="10">
        <v>2000</v>
      </c>
      <c r="B35" s="8"/>
      <c r="C35" s="8"/>
      <c r="D35" s="8"/>
      <c r="E35" s="8"/>
      <c r="F35" s="8"/>
      <c r="G35" s="8"/>
      <c r="H35" s="8"/>
      <c r="I35" s="8"/>
    </row>
    <row r="36" spans="1:9" ht="17.399999999999999" x14ac:dyDescent="0.3">
      <c r="A36" s="10">
        <v>1000</v>
      </c>
      <c r="B36" s="8"/>
      <c r="C36" s="8"/>
      <c r="D36" s="8"/>
      <c r="E36" s="8"/>
      <c r="F36" s="8"/>
      <c r="G36" s="14" t="s">
        <v>30</v>
      </c>
      <c r="H36" s="8"/>
      <c r="I36" s="15" t="s">
        <v>31</v>
      </c>
    </row>
    <row r="37" spans="1:9" ht="17.399999999999999" x14ac:dyDescent="0.3">
      <c r="B37" s="8"/>
      <c r="C37" s="8"/>
      <c r="D37" s="8"/>
      <c r="E37" s="8"/>
      <c r="F37" s="8"/>
      <c r="G37" s="8"/>
      <c r="H37" s="8"/>
    </row>
    <row r="38" spans="1:9" ht="17.399999999999999" x14ac:dyDescent="0.3">
      <c r="A38" s="8"/>
      <c r="B38" s="16" t="s">
        <v>32</v>
      </c>
      <c r="C38" s="10">
        <v>300</v>
      </c>
      <c r="D38" s="10"/>
      <c r="E38" s="10">
        <v>600</v>
      </c>
      <c r="F38" s="10"/>
      <c r="G38" s="10">
        <v>1200</v>
      </c>
      <c r="H38" s="10"/>
    </row>
    <row r="39" spans="1:9" ht="15.6" x14ac:dyDescent="0.3">
      <c r="B39" s="17">
        <v>150</v>
      </c>
    </row>
  </sheetData>
  <mergeCells count="1">
    <mergeCell ref="B10:I10"/>
  </mergeCells>
  <pageMargins left="0.7" right="0.7" top="0.75" bottom="0.75" header="0.3" footer="0.3"/>
  <headerFooter>
    <oddHeader>&amp;R&amp;"Calibri"&amp;10&amp;K000000 Documento: Personal&amp;1#_x000D_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AF776-3BAD-4949-80CF-AD62ED3C9E61}">
  <dimension ref="B1:N14"/>
  <sheetViews>
    <sheetView showGridLines="0" topLeftCell="B1" workbookViewId="0">
      <selection activeCell="C6" sqref="C6"/>
    </sheetView>
  </sheetViews>
  <sheetFormatPr baseColWidth="10" defaultRowHeight="14.4" x14ac:dyDescent="0.3"/>
  <cols>
    <col min="3" max="4" width="16.44140625" bestFit="1" customWidth="1"/>
    <col min="8" max="8" width="19.88671875" bestFit="1" customWidth="1"/>
    <col min="9" max="9" width="14.5546875" customWidth="1"/>
    <col min="10" max="10" width="15.109375" customWidth="1"/>
    <col min="11" max="11" width="14.88671875" bestFit="1" customWidth="1"/>
    <col min="13" max="13" width="19.88671875" bestFit="1" customWidth="1"/>
  </cols>
  <sheetData>
    <row r="1" spans="2:14" ht="15" thickBot="1" x14ac:dyDescent="0.35"/>
    <row r="2" spans="2:14" ht="18.600000000000001" thickBot="1" x14ac:dyDescent="0.4">
      <c r="B2" s="59"/>
      <c r="C2" s="60" t="s">
        <v>38</v>
      </c>
      <c r="D2" s="60" t="s">
        <v>39</v>
      </c>
      <c r="E2" s="57"/>
      <c r="F2" s="24" t="s">
        <v>40</v>
      </c>
      <c r="G2" s="25" t="s">
        <v>41</v>
      </c>
      <c r="H2" s="22"/>
      <c r="I2" s="22"/>
      <c r="J2" s="26" t="s">
        <v>42</v>
      </c>
      <c r="K2" s="27"/>
      <c r="L2" s="27"/>
      <c r="M2" s="28">
        <f>+C4*C3</f>
        <v>8880000</v>
      </c>
      <c r="N2" s="29" t="s">
        <v>43</v>
      </c>
    </row>
    <row r="3" spans="2:14" ht="18.600000000000001" thickBot="1" x14ac:dyDescent="0.4">
      <c r="B3" s="60" t="s">
        <v>44</v>
      </c>
      <c r="C3" s="60">
        <v>80000</v>
      </c>
      <c r="D3" s="60">
        <f>+C3*1.075</f>
        <v>86000</v>
      </c>
      <c r="E3" s="57"/>
      <c r="F3" s="22"/>
      <c r="G3" s="30" t="s">
        <v>45</v>
      </c>
      <c r="H3" s="31"/>
      <c r="I3" s="22"/>
      <c r="J3" s="26" t="s">
        <v>46</v>
      </c>
      <c r="K3" s="27"/>
      <c r="L3" s="27"/>
      <c r="M3" s="28">
        <f>+C5*C6</f>
        <v>113723.99999999999</v>
      </c>
      <c r="N3" s="29" t="s">
        <v>30</v>
      </c>
    </row>
    <row r="4" spans="2:14" ht="18.600000000000001" thickBot="1" x14ac:dyDescent="0.4">
      <c r="B4" s="60" t="s">
        <v>47</v>
      </c>
      <c r="C4" s="60">
        <v>111</v>
      </c>
      <c r="D4" s="60">
        <f>+C4+44</f>
        <v>155</v>
      </c>
      <c r="E4" s="57"/>
      <c r="F4" s="32"/>
      <c r="G4" s="33" t="s">
        <v>48</v>
      </c>
      <c r="H4" s="34">
        <f>+C3*C4+C5*C6+0.5*C7*C8*C9</f>
        <v>9107448</v>
      </c>
      <c r="I4" s="22"/>
      <c r="J4" s="35" t="s">
        <v>49</v>
      </c>
      <c r="K4" s="31"/>
      <c r="L4" s="22"/>
      <c r="M4" s="36">
        <f>0.5*C7*C8*C9</f>
        <v>113724</v>
      </c>
      <c r="N4" s="29" t="s">
        <v>5</v>
      </c>
    </row>
    <row r="5" spans="2:14" ht="18.600000000000001" thickBot="1" x14ac:dyDescent="0.4">
      <c r="B5" s="60" t="s">
        <v>3</v>
      </c>
      <c r="C5" s="61">
        <f>+K5</f>
        <v>11975.137199999999</v>
      </c>
      <c r="D5" s="60">
        <f>+C5*1.3</f>
        <v>15567.67836</v>
      </c>
      <c r="E5" s="57"/>
      <c r="F5" s="22"/>
      <c r="G5" s="22"/>
      <c r="H5" s="22"/>
      <c r="I5" s="32"/>
      <c r="J5" s="37" t="s">
        <v>24</v>
      </c>
      <c r="K5" s="38">
        <f>+C7*C7*C8*C9/(2*C3)</f>
        <v>11975.137199999999</v>
      </c>
      <c r="L5" s="22"/>
      <c r="M5" s="22"/>
      <c r="N5" s="22"/>
    </row>
    <row r="6" spans="2:14" ht="18.600000000000001" thickBot="1" x14ac:dyDescent="0.4">
      <c r="B6" s="60" t="s">
        <v>4</v>
      </c>
      <c r="C6" s="60">
        <f>+C3/C7</f>
        <v>9.4966761633428298</v>
      </c>
      <c r="D6" s="62">
        <f>+D3/D7</f>
        <v>10.252742012398665</v>
      </c>
      <c r="E6" s="57"/>
      <c r="F6" s="24" t="s">
        <v>50</v>
      </c>
      <c r="G6" s="39" t="s">
        <v>51</v>
      </c>
      <c r="H6" s="22"/>
      <c r="I6" s="22"/>
      <c r="J6" s="22"/>
      <c r="K6" s="22"/>
      <c r="L6" s="22"/>
      <c r="M6" s="22"/>
      <c r="N6" s="22"/>
    </row>
    <row r="7" spans="2:14" ht="18.600000000000001" thickBot="1" x14ac:dyDescent="0.4">
      <c r="B7" s="60" t="s">
        <v>52</v>
      </c>
      <c r="C7" s="60">
        <v>8424</v>
      </c>
      <c r="D7" s="62">
        <f>+K10</f>
        <v>8388</v>
      </c>
      <c r="E7" s="57"/>
      <c r="F7" s="22"/>
      <c r="G7" s="40" t="s">
        <v>53</v>
      </c>
      <c r="H7" s="41">
        <f>+SQRT((2*D5*D3)/(D8*D9))</f>
        <v>8416.4752106465912</v>
      </c>
      <c r="I7" s="36">
        <f>CEILING(H7,36)</f>
        <v>8424</v>
      </c>
      <c r="J7" s="24">
        <f>+I7/E11*D11</f>
        <v>14.04</v>
      </c>
      <c r="K7" s="22"/>
      <c r="L7" s="36" t="s">
        <v>54</v>
      </c>
      <c r="M7" s="42">
        <f>+D3*D4+D5*D6+0.5*I7*D8*D9</f>
        <v>13648824.989957081</v>
      </c>
      <c r="N7" s="22"/>
    </row>
    <row r="8" spans="2:14" ht="18.600000000000001" thickBot="1" x14ac:dyDescent="0.4">
      <c r="B8" s="60" t="s">
        <v>55</v>
      </c>
      <c r="C8" s="60">
        <v>27</v>
      </c>
      <c r="D8" s="60">
        <f>+C8*1.4</f>
        <v>37.799999999999997</v>
      </c>
      <c r="E8" s="57"/>
      <c r="F8" s="22"/>
      <c r="G8" s="22"/>
      <c r="H8" s="22"/>
      <c r="I8" s="43">
        <f>FLOOR(H7,36)</f>
        <v>8388</v>
      </c>
      <c r="J8" s="44">
        <f>+I8/E11*D11</f>
        <v>13.979999999999999</v>
      </c>
      <c r="K8" s="45"/>
      <c r="L8" s="43" t="s">
        <v>54</v>
      </c>
      <c r="M8" s="46">
        <f>+D3*D4+D5*D6+0.5*I8*D8*D9</f>
        <v>13648144.589957081</v>
      </c>
      <c r="N8" s="22"/>
    </row>
    <row r="9" spans="2:14" ht="18.600000000000001" thickBot="1" x14ac:dyDescent="0.4">
      <c r="B9" s="60" t="s">
        <v>56</v>
      </c>
      <c r="C9" s="60">
        <v>1</v>
      </c>
      <c r="D9" s="60">
        <v>1</v>
      </c>
      <c r="E9" s="57"/>
      <c r="F9" s="22"/>
      <c r="G9" s="22"/>
      <c r="H9" s="24" t="s">
        <v>57</v>
      </c>
      <c r="I9" s="23">
        <v>2160</v>
      </c>
      <c r="J9" s="47">
        <f>+I9/E11*D11</f>
        <v>3.5999999999999996</v>
      </c>
      <c r="K9" s="31"/>
      <c r="L9" s="22"/>
      <c r="M9" s="22"/>
      <c r="N9" s="22"/>
    </row>
    <row r="10" spans="2:14" ht="18.600000000000001" thickBot="1" x14ac:dyDescent="0.4">
      <c r="B10" s="60" t="s">
        <v>58</v>
      </c>
      <c r="C10" s="60">
        <v>18</v>
      </c>
      <c r="D10" s="60">
        <f>+C10</f>
        <v>18</v>
      </c>
      <c r="E10" s="58">
        <v>10800</v>
      </c>
      <c r="F10" s="22"/>
      <c r="G10" s="48" t="s">
        <v>59</v>
      </c>
      <c r="H10" s="49" t="s">
        <v>60</v>
      </c>
      <c r="I10" s="50">
        <f>+D10-D14</f>
        <v>14.4</v>
      </c>
      <c r="J10" s="51" t="s">
        <v>53</v>
      </c>
      <c r="K10" s="52">
        <f>IF(I10&gt;J8,I8,I10/D11*10)</f>
        <v>8388</v>
      </c>
      <c r="L10" s="22"/>
      <c r="M10" s="22"/>
      <c r="N10" s="22"/>
    </row>
    <row r="11" spans="2:14" ht="18.600000000000001" thickBot="1" x14ac:dyDescent="0.4">
      <c r="B11" s="60" t="s">
        <v>61</v>
      </c>
      <c r="C11" s="60">
        <v>0.06</v>
      </c>
      <c r="D11" s="60">
        <f>+C11</f>
        <v>0.06</v>
      </c>
      <c r="E11" s="58">
        <v>36</v>
      </c>
      <c r="F11" s="22"/>
      <c r="G11" s="22"/>
      <c r="H11" s="22"/>
      <c r="I11" s="22"/>
      <c r="J11" s="22"/>
      <c r="K11" s="22"/>
      <c r="L11" s="22"/>
      <c r="M11" s="22"/>
      <c r="N11" s="22"/>
    </row>
    <row r="12" spans="2:14" ht="18.600000000000001" thickBot="1" x14ac:dyDescent="0.4">
      <c r="B12" s="60" t="s">
        <v>62</v>
      </c>
      <c r="C12" s="60">
        <f>+(C7*C11)/E11</f>
        <v>14.04</v>
      </c>
      <c r="D12" s="62">
        <f>+(D13+K10)*D11/E11</f>
        <v>17.579999999999998</v>
      </c>
      <c r="E12" s="57"/>
      <c r="F12" s="24" t="s">
        <v>63</v>
      </c>
      <c r="G12" s="25" t="s">
        <v>64</v>
      </c>
      <c r="H12" s="22"/>
      <c r="I12" s="22"/>
      <c r="J12" s="22"/>
      <c r="K12" s="22"/>
      <c r="L12" s="22"/>
      <c r="M12" s="28">
        <f>+D4*D3</f>
        <v>13330000</v>
      </c>
      <c r="N12" s="29" t="s">
        <v>43</v>
      </c>
    </row>
    <row r="13" spans="2:14" ht="18.600000000000001" thickBot="1" x14ac:dyDescent="0.4">
      <c r="B13" s="60" t="s">
        <v>65</v>
      </c>
      <c r="C13" s="60">
        <v>0</v>
      </c>
      <c r="D13" s="60">
        <f>60*36</f>
        <v>2160</v>
      </c>
      <c r="E13" s="57"/>
      <c r="F13" s="22"/>
      <c r="G13" s="30" t="s">
        <v>66</v>
      </c>
      <c r="H13" s="31"/>
      <c r="I13" s="22"/>
      <c r="J13" s="31"/>
      <c r="K13" s="31"/>
      <c r="L13" s="22"/>
      <c r="M13" s="28">
        <f>+D5*D6</f>
        <v>159611.38995708156</v>
      </c>
      <c r="N13" s="29" t="s">
        <v>30</v>
      </c>
    </row>
    <row r="14" spans="2:14" ht="18.600000000000001" thickBot="1" x14ac:dyDescent="0.4">
      <c r="B14" s="60" t="s">
        <v>67</v>
      </c>
      <c r="C14" s="60">
        <v>0</v>
      </c>
      <c r="D14" s="60">
        <f>+D13/E11*D11</f>
        <v>3.5999999999999996</v>
      </c>
      <c r="E14" s="57"/>
      <c r="F14" s="32"/>
      <c r="G14" s="53" t="s">
        <v>68</v>
      </c>
      <c r="H14" s="54">
        <f>+SUM(M12:M14)</f>
        <v>13648144.589957081</v>
      </c>
      <c r="I14" s="32"/>
      <c r="J14" s="55" t="s">
        <v>69</v>
      </c>
      <c r="K14" s="56">
        <f>+(H14-H4)/H4</f>
        <v>0.4985695872166474</v>
      </c>
      <c r="L14" s="22"/>
      <c r="M14" s="36">
        <f>0.5*D7*D8*D9</f>
        <v>158533.19999999998</v>
      </c>
      <c r="N14" s="29" t="s">
        <v>5</v>
      </c>
    </row>
  </sheetData>
  <pageMargins left="0.7" right="0.7" top="0.75" bottom="0.75" header="0.3" footer="0.3"/>
  <headerFooter>
    <oddHeader>&amp;R&amp;"Calibri"&amp;10&amp;K000000 Documento: Personal&amp;1#_x000D_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75B96-AB40-44C7-A182-E2D060312740}">
  <dimension ref="A2:D22"/>
  <sheetViews>
    <sheetView showGridLines="0" workbookViewId="0">
      <selection activeCell="B17" sqref="B17"/>
    </sheetView>
  </sheetViews>
  <sheetFormatPr baseColWidth="10" defaultRowHeight="14.4" x14ac:dyDescent="0.3"/>
  <cols>
    <col min="2" max="2" width="12.6640625" bestFit="1" customWidth="1"/>
    <col min="4" max="4" width="12.6640625" bestFit="1" customWidth="1"/>
  </cols>
  <sheetData>
    <row r="2" spans="1:4" x14ac:dyDescent="0.3">
      <c r="A2" s="63" t="s">
        <v>44</v>
      </c>
      <c r="B2" s="63">
        <f>937.5</f>
        <v>937.5</v>
      </c>
      <c r="C2" s="64" t="s">
        <v>70</v>
      </c>
      <c r="D2" s="63">
        <f>B2</f>
        <v>937.5</v>
      </c>
    </row>
    <row r="3" spans="1:4" x14ac:dyDescent="0.3">
      <c r="A3" s="63" t="s">
        <v>55</v>
      </c>
      <c r="B3" s="63">
        <v>0.1</v>
      </c>
      <c r="C3" s="63" t="s">
        <v>71</v>
      </c>
    </row>
    <row r="4" spans="1:4" x14ac:dyDescent="0.3">
      <c r="A4" s="63" t="s">
        <v>3</v>
      </c>
      <c r="B4" s="63">
        <v>100</v>
      </c>
    </row>
    <row r="5" spans="1:4" x14ac:dyDescent="0.3">
      <c r="A5" s="63" t="s">
        <v>47</v>
      </c>
    </row>
    <row r="6" spans="1:4" x14ac:dyDescent="0.3">
      <c r="A6" s="68" t="s">
        <v>72</v>
      </c>
      <c r="B6" s="69"/>
      <c r="C6" s="69"/>
      <c r="D6" s="68">
        <v>15</v>
      </c>
    </row>
    <row r="7" spans="1:4" x14ac:dyDescent="0.3">
      <c r="A7" s="70" t="s">
        <v>73</v>
      </c>
      <c r="B7" s="70">
        <v>12.5</v>
      </c>
      <c r="C7" s="69"/>
      <c r="D7" s="69"/>
    </row>
    <row r="9" spans="1:4" x14ac:dyDescent="0.3">
      <c r="A9" s="63" t="s">
        <v>74</v>
      </c>
      <c r="B9" s="71">
        <f>SQRT((2*B4*B2)/(B3*1))</f>
        <v>1369.3063937629154</v>
      </c>
      <c r="D9" s="66">
        <v>999</v>
      </c>
    </row>
    <row r="11" spans="1:4" x14ac:dyDescent="0.3">
      <c r="A11" s="63" t="s">
        <v>4</v>
      </c>
      <c r="B11" s="63">
        <f>B2/B9</f>
        <v>0.68465319688145765</v>
      </c>
      <c r="D11" s="63">
        <f>D2/D9</f>
        <v>0.93843843843843844</v>
      </c>
    </row>
    <row r="14" spans="1:4" x14ac:dyDescent="0.3">
      <c r="A14" s="63" t="s">
        <v>75</v>
      </c>
      <c r="B14" s="65">
        <f>B9*B7*B11+B3*B9*1/2+B4*B11</f>
        <v>11855.680639376294</v>
      </c>
      <c r="D14" s="65">
        <f>D9*D6*D11+B3*D9*1/2+B4*D11</f>
        <v>14206.293843843845</v>
      </c>
    </row>
    <row r="15" spans="1:4" x14ac:dyDescent="0.3">
      <c r="B15" s="65">
        <f>B14*365</f>
        <v>4327323.4333723476</v>
      </c>
      <c r="D15" s="65">
        <f>D14*365</f>
        <v>5185297.2530030031</v>
      </c>
    </row>
    <row r="22" spans="1:1" ht="27.75" customHeight="1" x14ac:dyDescent="0.3">
      <c r="A22" s="67"/>
    </row>
  </sheetData>
  <pageMargins left="0.7" right="0.7" top="0.75" bottom="0.75" header="0.3" footer="0.3"/>
  <headerFooter>
    <oddHeader>&amp;R&amp;"Calibri"&amp;10&amp;K000000 Documento: Personal&amp;1#_x000D_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C332B-0A6A-4115-A9F4-C60A12A65C29}">
  <dimension ref="B12:G33"/>
  <sheetViews>
    <sheetView showGridLines="0" topLeftCell="A2" zoomScaleNormal="100" workbookViewId="0">
      <selection activeCell="A28" sqref="A28"/>
    </sheetView>
  </sheetViews>
  <sheetFormatPr baseColWidth="10" defaultRowHeight="14.4" x14ac:dyDescent="0.3"/>
  <sheetData>
    <row r="12" spans="2:7" x14ac:dyDescent="0.3">
      <c r="F12" s="72" t="s">
        <v>76</v>
      </c>
      <c r="G12" s="72" t="s">
        <v>77</v>
      </c>
    </row>
    <row r="13" spans="2:7" ht="15.6" x14ac:dyDescent="0.3">
      <c r="B13" s="73" t="s">
        <v>78</v>
      </c>
      <c r="F13" s="74">
        <f>+SQRT((2*1500*500)/(150*0.02))</f>
        <v>707.10678118654755</v>
      </c>
      <c r="G13" s="74">
        <f>+SQRT((2*2000*500)/(100*0.04))</f>
        <v>707.10678118654755</v>
      </c>
    </row>
    <row r="16" spans="2:7" x14ac:dyDescent="0.3">
      <c r="F16" s="79">
        <f>+(F13*(1/10))+(G13*(1/15))</f>
        <v>117.85113019775793</v>
      </c>
      <c r="G16" s="80"/>
    </row>
    <row r="18" spans="2:5" x14ac:dyDescent="0.3">
      <c r="B18" t="s">
        <v>81</v>
      </c>
    </row>
    <row r="21" spans="2:5" ht="15.6" x14ac:dyDescent="0.3">
      <c r="B21" s="75" t="s">
        <v>79</v>
      </c>
      <c r="C21" s="4" t="s">
        <v>76</v>
      </c>
      <c r="D21" s="4" t="s">
        <v>77</v>
      </c>
      <c r="E21" s="4" t="s">
        <v>80</v>
      </c>
    </row>
    <row r="22" spans="2:5" x14ac:dyDescent="0.3">
      <c r="B22" s="1">
        <v>0</v>
      </c>
      <c r="C22" s="74">
        <f>+SQRT((2*1500*500)/(150*0.02))</f>
        <v>707.10678118654755</v>
      </c>
      <c r="D22" s="74">
        <f>+SQRT((2*2000*500)/(100*0.04))</f>
        <v>707.10678118654755</v>
      </c>
      <c r="E22" s="74">
        <f>+(F13*(1/10))+(G13*(1/15))</f>
        <v>117.85113019775793</v>
      </c>
    </row>
    <row r="23" spans="2:5" x14ac:dyDescent="0.3">
      <c r="B23" s="1">
        <v>10</v>
      </c>
      <c r="C23" s="74">
        <f>+SQRT((2*1500*500)/((150*0.02)-(2*B23*(1/10))))</f>
        <v>1224.744871391589</v>
      </c>
      <c r="D23" s="74">
        <f>+SQRT((2*2000*500)/((100*0.04)-(2*B23*(1/15))))</f>
        <v>866.02540378443859</v>
      </c>
      <c r="E23" s="74">
        <f>+(C23*(1/10))+(D23*(1/15))</f>
        <v>180.20951405812147</v>
      </c>
    </row>
    <row r="24" spans="2:5" x14ac:dyDescent="0.3">
      <c r="B24" s="1">
        <v>-10</v>
      </c>
      <c r="C24" s="74">
        <f>+SQRT((2*1500*500)/((150*0.02)-(2*B24*(1/10))))</f>
        <v>547.72255750516615</v>
      </c>
      <c r="D24" s="74">
        <f>+SQRT((2*2000*500)/((100*0.04)-(2*B24*(1/15))))</f>
        <v>612.37243569579448</v>
      </c>
      <c r="E24" s="74">
        <f>+(C24*(1/10))+(D24*(1/15))</f>
        <v>95.597084796902919</v>
      </c>
    </row>
    <row r="25" spans="2:5" x14ac:dyDescent="0.3">
      <c r="B25" s="1">
        <v>-11</v>
      </c>
      <c r="C25" s="74">
        <f t="shared" ref="C25:C28" si="0">+SQRT((2*1500*500)/((150*0.02)-(2*B25*(1/10))))</f>
        <v>537.08615552957463</v>
      </c>
      <c r="D25" s="74">
        <f t="shared" ref="D25:D28" si="1">+SQRT((2*2000*500)/((100*0.04)-(2*B25*(1/15))))</f>
        <v>604.85837890913388</v>
      </c>
      <c r="E25" s="74">
        <f t="shared" ref="E25:E28" si="2">+(C25*(1/10))+(D25*(1/15))</f>
        <v>94.032507480233051</v>
      </c>
    </row>
    <row r="26" spans="2:5" x14ac:dyDescent="0.3">
      <c r="B26" s="1">
        <v>-12</v>
      </c>
      <c r="C26" s="74">
        <f t="shared" si="0"/>
        <v>527.04627669472984</v>
      </c>
      <c r="D26" s="74">
        <f t="shared" si="1"/>
        <v>597.61430466719685</v>
      </c>
      <c r="E26" s="74">
        <f t="shared" si="2"/>
        <v>92.545581313952766</v>
      </c>
    </row>
    <row r="27" spans="2:5" x14ac:dyDescent="0.3">
      <c r="B27" s="1">
        <v>-13</v>
      </c>
      <c r="C27" s="74">
        <f t="shared" si="0"/>
        <v>517.54916950676568</v>
      </c>
      <c r="D27" s="74">
        <f t="shared" si="1"/>
        <v>590.62442321861829</v>
      </c>
      <c r="E27" s="74">
        <f t="shared" si="2"/>
        <v>91.129878498584461</v>
      </c>
    </row>
    <row r="28" spans="2:5" x14ac:dyDescent="0.3">
      <c r="B28" s="1">
        <v>-14</v>
      </c>
      <c r="C28" s="74">
        <f t="shared" si="0"/>
        <v>508.54762771560775</v>
      </c>
      <c r="D28" s="74">
        <f t="shared" si="1"/>
        <v>583.87420812114226</v>
      </c>
      <c r="E28" s="74">
        <f>+(C28*(1/10))+(D28*(1/15))</f>
        <v>89.77970997963692</v>
      </c>
    </row>
    <row r="29" spans="2:5" x14ac:dyDescent="0.3">
      <c r="B29" s="1"/>
      <c r="C29" s="74"/>
      <c r="D29" s="74"/>
      <c r="E29" s="1"/>
    </row>
    <row r="30" spans="2:5" x14ac:dyDescent="0.3">
      <c r="B30" s="1"/>
      <c r="C30" s="74"/>
      <c r="D30" s="74"/>
      <c r="E30" s="1"/>
    </row>
    <row r="31" spans="2:5" x14ac:dyDescent="0.3">
      <c r="B31" s="1"/>
      <c r="C31" s="1"/>
      <c r="D31" s="1"/>
      <c r="E31" s="1"/>
    </row>
    <row r="32" spans="2:5" x14ac:dyDescent="0.3">
      <c r="B32" s="1"/>
      <c r="C32" s="1"/>
      <c r="D32" s="1"/>
      <c r="E32" s="1"/>
    </row>
    <row r="33" spans="2:5" x14ac:dyDescent="0.3">
      <c r="B33" s="1"/>
      <c r="C33" s="1"/>
      <c r="D33" s="1"/>
      <c r="E33" s="1"/>
    </row>
  </sheetData>
  <mergeCells count="1">
    <mergeCell ref="F16:G16"/>
  </mergeCells>
  <pageMargins left="0.7" right="0.7" top="0.75" bottom="0.75" header="0.3" footer="0.3"/>
  <headerFooter>
    <oddHeader>&amp;R&amp;"Calibri"&amp;10&amp;K000000 Documento: Personal&amp;1#_x000D_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162B0-C00C-4147-916D-472C02B3CEDD}">
  <dimension ref="B2:J24"/>
  <sheetViews>
    <sheetView showGridLines="0" zoomScale="82" zoomScaleNormal="190" workbookViewId="0">
      <selection activeCell="C12" sqref="C12"/>
    </sheetView>
  </sheetViews>
  <sheetFormatPr baseColWidth="10" defaultRowHeight="14.4" x14ac:dyDescent="0.3"/>
  <cols>
    <col min="3" max="3" width="12.77734375" bestFit="1" customWidth="1"/>
    <col min="7" max="7" width="11.77734375" bestFit="1" customWidth="1"/>
  </cols>
  <sheetData>
    <row r="2" spans="2:10" ht="71.400000000000006" customHeight="1" x14ac:dyDescent="0.3">
      <c r="B2" s="81" t="s">
        <v>82</v>
      </c>
      <c r="C2" s="81"/>
      <c r="D2" s="81"/>
      <c r="E2" s="81"/>
      <c r="F2" s="81"/>
      <c r="G2" s="81"/>
      <c r="H2" s="81"/>
      <c r="I2" s="81"/>
      <c r="J2" s="81"/>
    </row>
    <row r="4" spans="2:10" x14ac:dyDescent="0.3">
      <c r="B4" s="20" t="s">
        <v>83</v>
      </c>
      <c r="F4" s="20" t="s">
        <v>87</v>
      </c>
    </row>
    <row r="5" spans="2:10" x14ac:dyDescent="0.3">
      <c r="B5" s="6" t="s">
        <v>84</v>
      </c>
      <c r="C5" s="82">
        <v>96</v>
      </c>
      <c r="F5" s="6" t="s">
        <v>84</v>
      </c>
      <c r="G5" s="82">
        <v>94</v>
      </c>
    </row>
    <row r="6" spans="2:10" x14ac:dyDescent="0.3">
      <c r="B6" s="6" t="s">
        <v>85</v>
      </c>
      <c r="C6" s="83">
        <v>1</v>
      </c>
      <c r="F6" t="s">
        <v>88</v>
      </c>
      <c r="G6" s="87">
        <f>+C23/2</f>
        <v>4</v>
      </c>
    </row>
    <row r="7" spans="2:10" x14ac:dyDescent="0.3">
      <c r="B7" s="6" t="s">
        <v>86</v>
      </c>
      <c r="C7" s="82">
        <v>100000</v>
      </c>
      <c r="F7" s="72" t="s">
        <v>104</v>
      </c>
      <c r="G7" s="87">
        <f>+C8/G6</f>
        <v>250</v>
      </c>
    </row>
    <row r="8" spans="2:10" x14ac:dyDescent="0.3">
      <c r="B8" s="6" t="s">
        <v>89</v>
      </c>
      <c r="C8" s="84">
        <v>1000</v>
      </c>
    </row>
    <row r="9" spans="2:10" x14ac:dyDescent="0.3">
      <c r="B9" s="6" t="s">
        <v>90</v>
      </c>
      <c r="C9" s="82">
        <v>32</v>
      </c>
    </row>
    <row r="11" spans="2:10" x14ac:dyDescent="0.3">
      <c r="B11" s="6" t="s">
        <v>91</v>
      </c>
      <c r="C11" s="82">
        <f>+C5*C8</f>
        <v>96000</v>
      </c>
      <c r="F11" s="6" t="s">
        <v>91</v>
      </c>
      <c r="G11" s="82">
        <f>+G5*C8</f>
        <v>94000</v>
      </c>
    </row>
    <row r="12" spans="2:10" x14ac:dyDescent="0.3">
      <c r="B12" s="6" t="s">
        <v>92</v>
      </c>
      <c r="C12" t="s">
        <v>93</v>
      </c>
      <c r="F12" s="6" t="s">
        <v>92</v>
      </c>
      <c r="G12" s="82">
        <f>+C24*G6</f>
        <v>1000</v>
      </c>
    </row>
    <row r="13" spans="2:10" x14ac:dyDescent="0.3">
      <c r="B13" s="6" t="s">
        <v>94</v>
      </c>
      <c r="C13" t="s">
        <v>95</v>
      </c>
      <c r="F13" s="6" t="s">
        <v>94</v>
      </c>
      <c r="G13" s="82">
        <f>16*G7</f>
        <v>4000</v>
      </c>
    </row>
    <row r="15" spans="2:10" x14ac:dyDescent="0.3">
      <c r="B15" s="85" t="s">
        <v>96</v>
      </c>
      <c r="C15" s="85"/>
      <c r="D15" s="85"/>
      <c r="F15" s="88" t="s">
        <v>75</v>
      </c>
      <c r="G15" s="89">
        <f>+SUM(G11:G13)</f>
        <v>99000</v>
      </c>
      <c r="H15" s="20" t="s">
        <v>105</v>
      </c>
    </row>
    <row r="16" spans="2:10" x14ac:dyDescent="0.3">
      <c r="B16" s="85" t="s">
        <v>98</v>
      </c>
      <c r="C16" s="85"/>
      <c r="D16" s="85"/>
    </row>
    <row r="17" spans="2:4" x14ac:dyDescent="0.3">
      <c r="B17" s="85" t="s">
        <v>99</v>
      </c>
      <c r="C17" s="85"/>
      <c r="D17" s="85"/>
    </row>
    <row r="19" spans="2:4" x14ac:dyDescent="0.3">
      <c r="B19" t="s">
        <v>86</v>
      </c>
      <c r="C19" t="s">
        <v>100</v>
      </c>
    </row>
    <row r="20" spans="2:4" x14ac:dyDescent="0.3">
      <c r="B20" s="6" t="s">
        <v>101</v>
      </c>
      <c r="C20" t="s">
        <v>102</v>
      </c>
    </row>
    <row r="21" spans="2:4" x14ac:dyDescent="0.3">
      <c r="B21" s="20">
        <f>(100000-96000)/32</f>
        <v>125</v>
      </c>
      <c r="C21" s="20" t="s">
        <v>103</v>
      </c>
    </row>
    <row r="23" spans="2:4" x14ac:dyDescent="0.3">
      <c r="B23" s="86" t="s">
        <v>4</v>
      </c>
      <c r="C23" s="86">
        <f>+C8/B21</f>
        <v>8</v>
      </c>
    </row>
    <row r="24" spans="2:4" x14ac:dyDescent="0.3">
      <c r="B24" s="72" t="s">
        <v>3</v>
      </c>
      <c r="C24" s="72">
        <f>2000/C23</f>
        <v>250</v>
      </c>
    </row>
  </sheetData>
  <mergeCells count="4">
    <mergeCell ref="B2:J2"/>
    <mergeCell ref="B15:D15"/>
    <mergeCell ref="B16:D16"/>
    <mergeCell ref="B17:D1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6F21B-8F22-4A3A-87A5-0EEE58E9D928}">
  <dimension ref="A1:M28"/>
  <sheetViews>
    <sheetView showGridLines="0" zoomScaleNormal="100" workbookViewId="0">
      <selection activeCell="E7" sqref="E7"/>
    </sheetView>
  </sheetViews>
  <sheetFormatPr baseColWidth="10" defaultRowHeight="14.4" x14ac:dyDescent="0.3"/>
  <cols>
    <col min="1" max="1" width="17.21875" customWidth="1"/>
    <col min="5" max="5" width="15" bestFit="1" customWidth="1"/>
    <col min="7" max="7" width="12.77734375" bestFit="1" customWidth="1"/>
    <col min="8" max="8" width="13.88671875" bestFit="1" customWidth="1"/>
    <col min="9" max="9" width="12.77734375" bestFit="1" customWidth="1"/>
    <col min="12" max="12" width="12.77734375" bestFit="1" customWidth="1"/>
  </cols>
  <sheetData>
    <row r="1" spans="1:2" x14ac:dyDescent="0.3">
      <c r="A1" s="90" t="s">
        <v>106</v>
      </c>
    </row>
    <row r="2" spans="1:2" x14ac:dyDescent="0.3">
      <c r="A2" s="91" t="s">
        <v>107</v>
      </c>
    </row>
    <row r="3" spans="1:2" ht="15" thickBot="1" x14ac:dyDescent="0.35">
      <c r="A3" s="90"/>
    </row>
    <row r="4" spans="1:2" ht="15" thickBot="1" x14ac:dyDescent="0.35">
      <c r="A4" s="92" t="s">
        <v>108</v>
      </c>
      <c r="B4" s="93" t="s">
        <v>109</v>
      </c>
    </row>
    <row r="5" spans="1:2" ht="15" thickBot="1" x14ac:dyDescent="0.35">
      <c r="A5" s="94" t="s">
        <v>110</v>
      </c>
      <c r="B5" s="95" t="s">
        <v>111</v>
      </c>
    </row>
    <row r="6" spans="1:2" ht="15" thickBot="1" x14ac:dyDescent="0.35">
      <c r="A6" s="94" t="s">
        <v>112</v>
      </c>
      <c r="B6" s="96">
        <v>29.2</v>
      </c>
    </row>
    <row r="7" spans="1:2" ht="15" thickBot="1" x14ac:dyDescent="0.35">
      <c r="A7" s="94" t="s">
        <v>113</v>
      </c>
      <c r="B7" s="96">
        <v>28.8</v>
      </c>
    </row>
    <row r="8" spans="1:2" x14ac:dyDescent="0.3">
      <c r="A8" s="90"/>
    </row>
    <row r="9" spans="1:2" ht="15" thickBot="1" x14ac:dyDescent="0.35">
      <c r="A9" s="91" t="s">
        <v>114</v>
      </c>
    </row>
    <row r="10" spans="1:2" ht="15" thickBot="1" x14ac:dyDescent="0.35">
      <c r="A10" s="92" t="s">
        <v>108</v>
      </c>
      <c r="B10" s="93" t="s">
        <v>109</v>
      </c>
    </row>
    <row r="11" spans="1:2" ht="15" thickBot="1" x14ac:dyDescent="0.35">
      <c r="A11" s="94" t="s">
        <v>115</v>
      </c>
      <c r="B11" s="96">
        <v>30.2</v>
      </c>
    </row>
    <row r="12" spans="1:2" ht="15" thickBot="1" x14ac:dyDescent="0.35">
      <c r="A12" s="94" t="s">
        <v>116</v>
      </c>
      <c r="B12" s="96">
        <v>29.5</v>
      </c>
    </row>
    <row r="13" spans="1:2" ht="15" thickBot="1" x14ac:dyDescent="0.35">
      <c r="A13" s="94" t="s">
        <v>113</v>
      </c>
      <c r="B13" s="96">
        <v>28.9</v>
      </c>
    </row>
    <row r="14" spans="1:2" x14ac:dyDescent="0.3">
      <c r="A14" s="90"/>
    </row>
    <row r="15" spans="1:2" x14ac:dyDescent="0.3">
      <c r="A15" s="90" t="s">
        <v>117</v>
      </c>
    </row>
    <row r="16" spans="1:2" x14ac:dyDescent="0.3">
      <c r="A16" s="90" t="s">
        <v>118</v>
      </c>
    </row>
    <row r="18" spans="1:13" x14ac:dyDescent="0.3">
      <c r="A18" s="97" t="s">
        <v>119</v>
      </c>
    </row>
    <row r="19" spans="1:13" x14ac:dyDescent="0.3">
      <c r="A19" s="98" t="s">
        <v>108</v>
      </c>
      <c r="B19" s="98" t="s">
        <v>109</v>
      </c>
      <c r="C19" s="98" t="s">
        <v>56</v>
      </c>
      <c r="D19" s="98" t="s">
        <v>120</v>
      </c>
      <c r="E19" s="98" t="s">
        <v>44</v>
      </c>
      <c r="F19" s="98" t="s">
        <v>2</v>
      </c>
      <c r="G19" s="98" t="s">
        <v>52</v>
      </c>
      <c r="H19" s="98" t="s">
        <v>121</v>
      </c>
      <c r="I19" s="103" t="s">
        <v>30</v>
      </c>
      <c r="J19" s="103" t="s">
        <v>122</v>
      </c>
      <c r="K19" s="103" t="s">
        <v>5</v>
      </c>
      <c r="L19" s="103" t="s">
        <v>75</v>
      </c>
    </row>
    <row r="20" spans="1:13" x14ac:dyDescent="0.3">
      <c r="A20" s="99" t="s">
        <v>110</v>
      </c>
      <c r="B20" s="101">
        <v>30</v>
      </c>
      <c r="C20" s="100">
        <v>1</v>
      </c>
      <c r="D20" s="101">
        <v>160</v>
      </c>
      <c r="E20" s="102">
        <v>12000</v>
      </c>
      <c r="F20" s="101">
        <f>0.25*B20</f>
        <v>7.5</v>
      </c>
      <c r="G20" s="102">
        <f>+SQRT((2*D20*E20)/(F20*C20))</f>
        <v>715.54175279993274</v>
      </c>
      <c r="H20" s="107">
        <f>+G20</f>
        <v>715.54175279993274</v>
      </c>
      <c r="I20" s="108">
        <f>+B20*E20</f>
        <v>360000</v>
      </c>
      <c r="J20" s="108">
        <f>+D20*E20/H20</f>
        <v>2683.2815729997474</v>
      </c>
      <c r="K20" s="108">
        <f>0.5*F20*C20*H20</f>
        <v>2683.2815729997478</v>
      </c>
      <c r="L20" s="108">
        <f>+SUM(I20:K20)</f>
        <v>365366.56314599945</v>
      </c>
      <c r="M20" s="20"/>
    </row>
    <row r="21" spans="1:13" x14ac:dyDescent="0.3">
      <c r="A21" s="99" t="s">
        <v>112</v>
      </c>
      <c r="B21" s="101">
        <v>29.2</v>
      </c>
      <c r="C21" s="100">
        <v>1</v>
      </c>
      <c r="D21" s="101">
        <v>160</v>
      </c>
      <c r="E21" s="102">
        <v>12000</v>
      </c>
      <c r="F21" s="101">
        <f t="shared" ref="F21:F22" si="0">0.25*B21</f>
        <v>7.3</v>
      </c>
      <c r="G21" s="102">
        <f t="shared" ref="G21:G22" si="1">+SQRT((2*D21*E21)/(F21*C21))</f>
        <v>725.27746225859937</v>
      </c>
      <c r="H21" s="106">
        <v>1200</v>
      </c>
      <c r="I21" s="104">
        <f t="shared" ref="I21:I22" si="2">+B21*E21</f>
        <v>350400</v>
      </c>
      <c r="J21" s="104">
        <f>+D21*E21/H21</f>
        <v>1600</v>
      </c>
      <c r="K21" s="104">
        <f>0.5*F21*C21*H21</f>
        <v>4380</v>
      </c>
      <c r="L21" s="105">
        <f t="shared" ref="L21:L22" si="3">+SUM(I21:K21)</f>
        <v>356380</v>
      </c>
      <c r="M21" s="20" t="s">
        <v>124</v>
      </c>
    </row>
    <row r="22" spans="1:13" x14ac:dyDescent="0.3">
      <c r="A22" s="99" t="s">
        <v>113</v>
      </c>
      <c r="B22" s="101">
        <v>28.8</v>
      </c>
      <c r="C22" s="100">
        <v>1</v>
      </c>
      <c r="D22" s="101">
        <v>160</v>
      </c>
      <c r="E22" s="102">
        <v>12000</v>
      </c>
      <c r="F22" s="101">
        <f t="shared" si="0"/>
        <v>7.2</v>
      </c>
      <c r="G22" s="102">
        <f t="shared" si="1"/>
        <v>730.2967433402215</v>
      </c>
      <c r="H22" s="102">
        <v>3000</v>
      </c>
      <c r="I22" s="104">
        <f t="shared" si="2"/>
        <v>345600</v>
      </c>
      <c r="J22" s="104">
        <f t="shared" ref="J21:J22" si="4">+D22*E22/H22</f>
        <v>640</v>
      </c>
      <c r="K22" s="104">
        <f t="shared" ref="K21:K22" si="5">0.5*F22*C22*H22</f>
        <v>10800</v>
      </c>
      <c r="L22" s="104">
        <f t="shared" si="3"/>
        <v>357040</v>
      </c>
    </row>
    <row r="24" spans="1:13" x14ac:dyDescent="0.3">
      <c r="A24" s="97" t="s">
        <v>123</v>
      </c>
    </row>
    <row r="25" spans="1:13" x14ac:dyDescent="0.3">
      <c r="A25" s="98" t="s">
        <v>108</v>
      </c>
      <c r="B25" s="98" t="s">
        <v>109</v>
      </c>
      <c r="C25" s="98" t="s">
        <v>56</v>
      </c>
      <c r="D25" s="98" t="s">
        <v>120</v>
      </c>
      <c r="E25" s="98" t="s">
        <v>44</v>
      </c>
      <c r="F25" s="98" t="s">
        <v>2</v>
      </c>
      <c r="G25" s="98" t="s">
        <v>52</v>
      </c>
      <c r="H25" s="98" t="s">
        <v>121</v>
      </c>
      <c r="I25" s="103" t="s">
        <v>30</v>
      </c>
      <c r="J25" s="103" t="s">
        <v>122</v>
      </c>
      <c r="K25" s="103" t="s">
        <v>5</v>
      </c>
      <c r="L25" s="103" t="s">
        <v>75</v>
      </c>
    </row>
    <row r="26" spans="1:13" x14ac:dyDescent="0.3">
      <c r="A26" s="99" t="s">
        <v>115</v>
      </c>
      <c r="B26" s="101">
        <v>30.2</v>
      </c>
      <c r="C26" s="100">
        <v>1</v>
      </c>
      <c r="D26" s="101">
        <v>160</v>
      </c>
      <c r="E26" s="102">
        <v>12000</v>
      </c>
      <c r="F26" s="101">
        <f>0.25*B26</f>
        <v>7.55</v>
      </c>
      <c r="G26" s="102">
        <f>+SQRT((2*D26*E26)/(F26*C26))</f>
        <v>713.16847345012309</v>
      </c>
      <c r="H26" s="107">
        <f>+G26</f>
        <v>713.16847345012309</v>
      </c>
      <c r="I26" s="108">
        <f t="shared" ref="I26:I28" si="6">+B26*E26</f>
        <v>362400</v>
      </c>
      <c r="J26" s="108">
        <f>+D26*E26/H26</f>
        <v>2692.2109872742139</v>
      </c>
      <c r="K26" s="108">
        <f>0.5*F26*C26*H26</f>
        <v>2692.2109872742144</v>
      </c>
      <c r="L26" s="108">
        <f>+SUM(I26:K26)</f>
        <v>367784.42197454837</v>
      </c>
    </row>
    <row r="27" spans="1:13" x14ac:dyDescent="0.3">
      <c r="A27" s="99" t="s">
        <v>116</v>
      </c>
      <c r="B27" s="101">
        <v>29.5</v>
      </c>
      <c r="C27" s="100">
        <v>1</v>
      </c>
      <c r="D27" s="101">
        <v>160</v>
      </c>
      <c r="E27" s="102">
        <v>12000</v>
      </c>
      <c r="F27" s="101">
        <f t="shared" ref="F27:F28" si="7">0.25*B27</f>
        <v>7.375</v>
      </c>
      <c r="G27" s="102">
        <f t="shared" ref="G27:G28" si="8">+SQRT((2*D27*E27)/(F27*C27))</f>
        <v>721.58018688271568</v>
      </c>
      <c r="H27" s="106">
        <v>1000</v>
      </c>
      <c r="I27" s="104">
        <f t="shared" si="6"/>
        <v>354000</v>
      </c>
      <c r="J27" s="104">
        <f>+D27*E27/H27</f>
        <v>1920</v>
      </c>
      <c r="K27" s="104">
        <f>0.5*F27*C27*H27</f>
        <v>3687.5</v>
      </c>
      <c r="L27" s="105">
        <f t="shared" ref="L27:L28" si="9">+SUM(I27:K27)</f>
        <v>359607.5</v>
      </c>
    </row>
    <row r="28" spans="1:13" x14ac:dyDescent="0.3">
      <c r="A28" s="99" t="s">
        <v>113</v>
      </c>
      <c r="B28" s="101">
        <v>28.9</v>
      </c>
      <c r="C28" s="100">
        <v>1</v>
      </c>
      <c r="D28" s="101">
        <v>160</v>
      </c>
      <c r="E28" s="102">
        <v>12000</v>
      </c>
      <c r="F28" s="101">
        <f t="shared" si="7"/>
        <v>7.2249999999999996</v>
      </c>
      <c r="G28" s="102">
        <f t="shared" si="8"/>
        <v>729.032159286102</v>
      </c>
      <c r="H28" s="102">
        <v>3000</v>
      </c>
      <c r="I28" s="104">
        <f t="shared" si="6"/>
        <v>346800</v>
      </c>
      <c r="J28" s="104">
        <f t="shared" ref="J28" si="10">+D28*E28/H28</f>
        <v>640</v>
      </c>
      <c r="K28" s="104">
        <f t="shared" ref="K28" si="11">0.5*F28*C28*H28</f>
        <v>10837.5</v>
      </c>
      <c r="L28" s="104">
        <f t="shared" si="9"/>
        <v>358277.5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5D2C2-B73D-44D3-9D88-7330F77B648D}">
  <dimension ref="B2:H35"/>
  <sheetViews>
    <sheetView showGridLines="0" zoomScaleNormal="100" workbookViewId="0"/>
  </sheetViews>
  <sheetFormatPr baseColWidth="10" defaultRowHeight="14.4" x14ac:dyDescent="0.3"/>
  <sheetData>
    <row r="2" spans="2:8" ht="16.2" x14ac:dyDescent="0.3">
      <c r="B2" s="90" t="s">
        <v>125</v>
      </c>
    </row>
    <row r="3" spans="2:8" ht="15" thickBot="1" x14ac:dyDescent="0.35">
      <c r="B3" s="90" t="s">
        <v>131</v>
      </c>
    </row>
    <row r="4" spans="2:8" ht="29.4" thickBot="1" x14ac:dyDescent="0.35">
      <c r="B4" s="92" t="s">
        <v>126</v>
      </c>
      <c r="C4" s="93" t="s">
        <v>127</v>
      </c>
      <c r="D4" s="93" t="s">
        <v>128</v>
      </c>
      <c r="E4" s="93" t="s">
        <v>3</v>
      </c>
      <c r="F4" s="93" t="s">
        <v>129</v>
      </c>
    </row>
    <row r="5" spans="2:8" ht="15" thickBot="1" x14ac:dyDescent="0.35">
      <c r="B5" s="94">
        <v>1</v>
      </c>
      <c r="C5" s="95">
        <v>6000</v>
      </c>
      <c r="D5" s="95">
        <v>15</v>
      </c>
      <c r="E5" s="95">
        <v>80</v>
      </c>
      <c r="F5" s="95">
        <v>0.1</v>
      </c>
    </row>
    <row r="6" spans="2:8" ht="15" thickBot="1" x14ac:dyDescent="0.35">
      <c r="B6" s="94">
        <v>2</v>
      </c>
      <c r="C6" s="95">
        <v>4000</v>
      </c>
      <c r="D6" s="95">
        <v>40</v>
      </c>
      <c r="E6" s="95">
        <v>120</v>
      </c>
      <c r="F6" s="95">
        <v>0.3</v>
      </c>
    </row>
    <row r="7" spans="2:8" ht="15" thickBot="1" x14ac:dyDescent="0.35">
      <c r="B7" s="94">
        <v>3</v>
      </c>
      <c r="C7" s="95">
        <v>2000</v>
      </c>
      <c r="D7" s="95">
        <v>60</v>
      </c>
      <c r="E7" s="95">
        <v>200</v>
      </c>
      <c r="F7" s="95">
        <v>0.5</v>
      </c>
    </row>
    <row r="8" spans="2:8" x14ac:dyDescent="0.3">
      <c r="B8" s="90"/>
    </row>
    <row r="9" spans="2:8" x14ac:dyDescent="0.3">
      <c r="B9" s="90" t="s">
        <v>130</v>
      </c>
    </row>
    <row r="11" spans="2:8" x14ac:dyDescent="0.3">
      <c r="F11" s="72" t="s">
        <v>132</v>
      </c>
      <c r="G11" s="72" t="s">
        <v>133</v>
      </c>
      <c r="H11" s="72" t="s">
        <v>134</v>
      </c>
    </row>
    <row r="12" spans="2:8" ht="15.6" x14ac:dyDescent="0.3">
      <c r="B12" s="73" t="s">
        <v>78</v>
      </c>
      <c r="F12" s="74">
        <f>+SQRT((2*$E$5*$C$5)/($D$5*0.2))</f>
        <v>565.68542494923804</v>
      </c>
      <c r="G12" s="74">
        <f>+SQRT((2*$E$6*$C$6)/($D$6*0.2))</f>
        <v>346.41016151377545</v>
      </c>
      <c r="H12" s="74">
        <f>+SQRT((2*$E$7*$C$7)/($D$7*0.2))</f>
        <v>258.19888974716116</v>
      </c>
    </row>
    <row r="14" spans="2:8" x14ac:dyDescent="0.3">
      <c r="F14" t="s">
        <v>135</v>
      </c>
    </row>
    <row r="15" spans="2:8" x14ac:dyDescent="0.3">
      <c r="F15" s="79">
        <f>+(F12*F5)+(G12*F6)+(H12*F7)</f>
        <v>289.59103582263702</v>
      </c>
      <c r="G15" s="80"/>
    </row>
    <row r="17" spans="2:6" x14ac:dyDescent="0.3">
      <c r="B17" t="s">
        <v>136</v>
      </c>
    </row>
    <row r="20" spans="2:6" ht="15.6" x14ac:dyDescent="0.3">
      <c r="B20" s="75" t="s">
        <v>79</v>
      </c>
      <c r="C20" s="4" t="s">
        <v>132</v>
      </c>
      <c r="D20" s="4" t="s">
        <v>133</v>
      </c>
      <c r="E20" s="4" t="s">
        <v>134</v>
      </c>
      <c r="F20" s="4" t="s">
        <v>80</v>
      </c>
    </row>
    <row r="21" spans="2:6" x14ac:dyDescent="0.3">
      <c r="B21" s="1">
        <v>0</v>
      </c>
      <c r="C21" s="74">
        <f>+SQRT((2*$E$5*$C$5)/(($D$5*0.2)-(2*B21*$F$5)))</f>
        <v>565.68542494923804</v>
      </c>
      <c r="D21" s="74">
        <f>+SQRT((2*$E$6*$C$6)/(($D$6*0.2)-(2*B21*$F$6)))</f>
        <v>346.41016151377545</v>
      </c>
      <c r="E21" s="74">
        <f>+SQRT((2*$E$7*$C$7)/(($D$7*0.2)-(2*B21*$F$7)))</f>
        <v>258.19888974716116</v>
      </c>
      <c r="F21" s="74">
        <f>+(C21*$F$5)+(D21*$F$6)+(E21*$F$7)</f>
        <v>289.59103582263702</v>
      </c>
    </row>
    <row r="22" spans="2:6" x14ac:dyDescent="0.3">
      <c r="B22" s="1">
        <v>1</v>
      </c>
      <c r="C22" s="74">
        <f>+SQRT((2*$E$5*$C$5)/(($D$5*0.2)-(2*B22*$F$5)))</f>
        <v>585.54004376911996</v>
      </c>
      <c r="D22" s="74">
        <f>+SQRT((2*$E$6*$C$6)/(($D$6*0.2)-(2*B22*$F$6)))</f>
        <v>360.18013511259852</v>
      </c>
      <c r="E22" s="74">
        <f>+SQRT((2*$E$7*$C$7)/(($D$7*0.2)-(2*B22*$F$7)))</f>
        <v>269.6799449852968</v>
      </c>
      <c r="F22" s="74">
        <f>+(C22*$F$5)+(D22*$F$6)+(E22*$F$7)</f>
        <v>301.44801740333992</v>
      </c>
    </row>
    <row r="23" spans="2:6" x14ac:dyDescent="0.3">
      <c r="B23" s="1">
        <v>0.5</v>
      </c>
      <c r="C23" s="74">
        <f>+SQRT((2*$E$5*$C$5)/(($D$5*0.2)-(2*B23*$F$5)))</f>
        <v>575.35596178246101</v>
      </c>
      <c r="D23" s="74">
        <f>+SQRT((2*$E$6*$C$6)/(($D$6*0.2)-(2*B23*$F$6)))</f>
        <v>353.09393180189983</v>
      </c>
      <c r="E23" s="74">
        <f>+SQRT((2*$E$7*$C$7)/(($D$7*0.2)-(2*B23*$F$7)))</f>
        <v>263.75218935831481</v>
      </c>
      <c r="F23" s="74">
        <f>+(C23*$F$5)+(D23*$F$6)+(E23*$F$7)</f>
        <v>295.33987039797341</v>
      </c>
    </row>
    <row r="24" spans="2:6" x14ac:dyDescent="0.3">
      <c r="B24" s="1">
        <v>0.1</v>
      </c>
      <c r="C24" s="74">
        <f>+SQRT((2*$E$5*$C$5)/(($D$5*0.2)-(2*B24*$F$5)))</f>
        <v>567.58052380848255</v>
      </c>
      <c r="D24" s="74">
        <f>+SQRT((2*$E$6*$C$6)/(($D$6*0.2)-(2*B24*$F$6)))</f>
        <v>347.71655267984681</v>
      </c>
      <c r="E24" s="74">
        <f>+SQRT((2*$E$7*$C$7)/(($D$7*0.2)-(2*B24*$F$7)))</f>
        <v>259.28148942086574</v>
      </c>
      <c r="F24" s="74">
        <f>+(C24*$F$5)+(D24*$F$6)+(E24*$F$7)</f>
        <v>290.71376289523516</v>
      </c>
    </row>
    <row r="25" spans="2:6" x14ac:dyDescent="0.3">
      <c r="B25" s="1">
        <v>0.01</v>
      </c>
      <c r="C25" s="74">
        <f>+SQRT((2*$E$5*$C$5)/(($D$5*0.2)-(2*B25*$F$5)))</f>
        <v>565.87408109086743</v>
      </c>
      <c r="D25" s="74">
        <f>+SQRT((2*$E$6*$C$6)/(($D$6*0.2)-(2*B25*$F$6)))</f>
        <v>346.54013844093589</v>
      </c>
      <c r="E25" s="74">
        <f>+SQRT((2*$E$7*$C$7)/(($D$7*0.2)-(2*B25*$F$7)))</f>
        <v>258.30653990391136</v>
      </c>
      <c r="F25" s="74">
        <f>+(C25*$F$5)+(D25*$F$6)+(E25*$F$7)</f>
        <v>289.7027195933232</v>
      </c>
    </row>
    <row r="26" spans="2:6" x14ac:dyDescent="0.3">
      <c r="B26" s="1">
        <v>1E-3</v>
      </c>
      <c r="C26" s="74">
        <f>+SQRT((2*$E$5*$C$5)/(($D$5*0.2)-(2*B26*$F$5)))</f>
        <v>565.70428207293105</v>
      </c>
      <c r="D26" s="74">
        <f>+SQRT((2*$E$6*$C$6)/(($D$6*0.2)-(2*B26*$F$6)))</f>
        <v>346.42315262558685</v>
      </c>
      <c r="E26" s="74">
        <f>+SQRT((2*$E$7*$C$7)/(($D$7*0.2)-(2*B26*$F$7)))</f>
        <v>258.20964870667353</v>
      </c>
      <c r="F26" s="74">
        <f>+(C26*$F$5)+(D26*$F$6)+(E26*$F$7)</f>
        <v>289.60219834830593</v>
      </c>
    </row>
    <row r="27" spans="2:6" x14ac:dyDescent="0.3">
      <c r="B27" s="1">
        <v>0.09</v>
      </c>
      <c r="C27" s="74">
        <f>+SQRT((2*$E$5*$C$5)/(($D$5*0.2)-(2*B27*$F$5)))</f>
        <v>567.39015636264196</v>
      </c>
      <c r="D27" s="74">
        <f>+SQRT((2*$E$6*$C$6)/(($D$6*0.2)-(2*B27*$F$6)))</f>
        <v>347.58524804201761</v>
      </c>
      <c r="E27" s="74">
        <f>+SQRT((2*$E$7*$C$7)/(($D$7*0.2)-(2*B27*$F$7)))</f>
        <v>259.17261623134135</v>
      </c>
      <c r="F27" s="74">
        <f>+(C27*$F$5)+(D27*$F$6)+(E27*$F$7)</f>
        <v>290.60089816454013</v>
      </c>
    </row>
    <row r="28" spans="2:6" x14ac:dyDescent="0.3">
      <c r="B28" s="1">
        <v>-1</v>
      </c>
      <c r="C28" s="74">
        <f>+SQRT((2*$E$5*$C$5)/(($D$5*0.2)-(2*B28*$F$5)))</f>
        <v>547.72255750516615</v>
      </c>
      <c r="D28" s="74">
        <f>+SQRT((2*$E$6*$C$6)/(($D$6*0.2)-(2*B28*$F$6)))</f>
        <v>334.10762783382273</v>
      </c>
      <c r="E28" s="74">
        <f>+SQRT((2*$E$7*$C$7)/(($D$7*0.2)-(2*B28*$F$7)))</f>
        <v>248.06946917841691</v>
      </c>
      <c r="F28" s="74">
        <f>+(C28*$F$5)+(D28*$F$6)+(E28*$F$7)</f>
        <v>279.03927868987194</v>
      </c>
    </row>
    <row r="29" spans="2:6" x14ac:dyDescent="0.3">
      <c r="B29" s="1">
        <v>-10</v>
      </c>
      <c r="C29" s="74">
        <f>+SQRT((2*$E$5*$C$5)/(($D$5*0.2)-(2*B29*$F$5)))</f>
        <v>438.17804600413291</v>
      </c>
      <c r="D29" s="74">
        <f>+SQRT((2*$E$6*$C$6)/(($D$6*0.2)-(2*B29*$F$6)))</f>
        <v>261.86146828319085</v>
      </c>
      <c r="E29" s="74">
        <f>+SQRT((2*$E$7*$C$7)/(($D$7*0.2)-(2*B29*$F$7)))</f>
        <v>190.69251784911845</v>
      </c>
      <c r="F29" s="74">
        <f>+(C29*$F$5)+(D29*$F$6)+(E29*$F$7)</f>
        <v>217.72250400992976</v>
      </c>
    </row>
    <row r="30" spans="2:6" x14ac:dyDescent="0.3">
      <c r="B30" s="1">
        <v>-5</v>
      </c>
      <c r="C30" s="74">
        <f>+SQRT((2*$E$5*$C$5)/(($D$5*0.2)-(2*B30*$F$5)))</f>
        <v>489.89794855663564</v>
      </c>
      <c r="D30" s="74">
        <f>+SQRT((2*$E$6*$C$6)/(($D$6*0.2)-(2*B30*$F$6)))</f>
        <v>295.41957835039858</v>
      </c>
      <c r="E30" s="74">
        <f>+SQRT((2*$E$7*$C$7)/(($D$7*0.2)-(2*B30*$F$7)))</f>
        <v>216.93045781865618</v>
      </c>
      <c r="F30" s="74">
        <f>+(C30*$F$5)+(D30*$F$6)+(E30*$F$7)</f>
        <v>246.08089727011122</v>
      </c>
    </row>
    <row r="31" spans="2:6" x14ac:dyDescent="0.3">
      <c r="B31" s="1">
        <v>-4</v>
      </c>
      <c r="C31" s="74">
        <f>+SQRT((2*$E$5*$C$5)/(($D$5*0.2)-(2*B31*$F$5)))</f>
        <v>502.62468995003462</v>
      </c>
      <c r="D31" s="74">
        <f>+SQRT((2*$E$6*$C$6)/(($D$6*0.2)-(2*B31*$F$6)))</f>
        <v>303.82181012509994</v>
      </c>
      <c r="E31" s="74">
        <f>+SQRT((2*$E$7*$C$7)/(($D$7*0.2)-(2*B31*$F$7)))</f>
        <v>223.60679774997897</v>
      </c>
      <c r="F31" s="74">
        <f>+(C31*$F$5)+(D31*$F$6)+(E31*$F$7)</f>
        <v>253.21241090752292</v>
      </c>
    </row>
    <row r="32" spans="2:6" x14ac:dyDescent="0.3">
      <c r="B32" s="1">
        <v>-4.5</v>
      </c>
      <c r="C32" s="74">
        <f>+SQRT((2*$E$5*$C$5)/(($D$5*0.2)-(2*B32*$F$5)))</f>
        <v>496.13893835683382</v>
      </c>
      <c r="D32" s="74">
        <f>+SQRT((2*$E$6*$C$6)/(($D$6*0.2)-(2*B32*$F$6)))</f>
        <v>299.53234577959074</v>
      </c>
      <c r="E32" s="74">
        <f>+SQRT((2*$E$7*$C$7)/(($D$7*0.2)-(2*B32*$F$7)))</f>
        <v>220.19275302527214</v>
      </c>
      <c r="F32" s="74">
        <f>+(C32*$F$5)+(D32*$F$6)+(E32*$F$7)</f>
        <v>249.56997408219667</v>
      </c>
    </row>
    <row r="33" spans="2:6" x14ac:dyDescent="0.3">
      <c r="B33" s="1">
        <v>-4.4000000000000004</v>
      </c>
      <c r="C33" s="74">
        <f>+SQRT((2*$E$5*$C$5)/(($D$5*0.2)-(2*B33*$F$5)))</f>
        <v>497.41600337380697</v>
      </c>
      <c r="D33" s="74">
        <f>+SQRT((2*$E$6*$C$6)/(($D$6*0.2)-(2*B33*$F$6)))</f>
        <v>300.37570459305533</v>
      </c>
      <c r="E33" s="74">
        <f>+SQRT((2*$E$7*$C$7)/(($D$7*0.2)-(2*B33*$F$7)))</f>
        <v>220.86305214969309</v>
      </c>
      <c r="F33" s="74">
        <f>+(C33*$F$5)+(D33*$F$6)+(E33*$F$7)</f>
        <v>250.28583779014383</v>
      </c>
    </row>
    <row r="34" spans="2:6" x14ac:dyDescent="0.3">
      <c r="B34" s="4">
        <v>-4.4400000000000004</v>
      </c>
      <c r="C34" s="109">
        <f>+SQRT((2*$E$5*$C$5)/(($D$5*0.2)-(2*B34*$F$5)))</f>
        <v>496.90399499995328</v>
      </c>
      <c r="D34" s="109">
        <f>+SQRT((2*$E$6*$C$6)/(($D$6*0.2)-(2*B34*$F$6)))</f>
        <v>300.03750703271515</v>
      </c>
      <c r="E34" s="109">
        <f>+SQRT((2*$E$7*$C$7)/(($D$7*0.2)-(2*B34*$F$7)))</f>
        <v>220.59419866945277</v>
      </c>
      <c r="F34" s="110">
        <f>+(C34*$F$5)+(D34*$F$6)+(E34*$F$7)</f>
        <v>249.99875094453625</v>
      </c>
    </row>
    <row r="35" spans="2:6" x14ac:dyDescent="0.3">
      <c r="B35" s="1"/>
      <c r="C35" s="74"/>
      <c r="D35" s="74"/>
      <c r="E35" s="74"/>
      <c r="F35" s="74"/>
    </row>
  </sheetData>
  <mergeCells count="1">
    <mergeCell ref="F15:G15"/>
  </mergeCells>
  <pageMargins left="0.7" right="0.7" top="0.75" bottom="0.75" header="0.3" footer="0.3"/>
  <headerFooter>
    <oddHeader>&amp;R&amp;"Calibri"&amp;10&amp;K000000 Documento: Personal&amp;1#_x000D_</oddHead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8E1B0-BFD0-4E6F-91F1-B0F263A3E85F}">
  <dimension ref="A1:P98"/>
  <sheetViews>
    <sheetView zoomScale="120" zoomScaleNormal="120" workbookViewId="0">
      <selection sqref="A1:J16"/>
    </sheetView>
  </sheetViews>
  <sheetFormatPr baseColWidth="10" defaultColWidth="0" defaultRowHeight="14.4" customHeight="1" zeroHeight="1" x14ac:dyDescent="0.3"/>
  <cols>
    <col min="1" max="1" width="4" customWidth="1"/>
    <col min="2" max="2" width="3.21875" customWidth="1"/>
    <col min="3" max="3" width="16.5546875" customWidth="1"/>
    <col min="4" max="4" width="9.44140625" customWidth="1"/>
    <col min="5" max="5" width="4.21875" bestFit="1" customWidth="1"/>
    <col min="6" max="6" width="16.21875" bestFit="1" customWidth="1"/>
    <col min="7" max="7" width="17.77734375" customWidth="1"/>
    <col min="8" max="11" width="11.44140625" customWidth="1"/>
    <col min="12" max="16" width="0" hidden="1" customWidth="1"/>
    <col min="17" max="16384" width="11.44140625" hidden="1"/>
  </cols>
  <sheetData>
    <row r="1" spans="1:11" ht="15" customHeight="1" x14ac:dyDescent="0.3">
      <c r="A1" s="111" t="s">
        <v>137</v>
      </c>
      <c r="B1" s="111"/>
      <c r="C1" s="111"/>
      <c r="D1" s="111"/>
      <c r="E1" s="111"/>
      <c r="F1" s="111"/>
      <c r="G1" s="111"/>
      <c r="H1" s="111"/>
      <c r="I1" s="111"/>
      <c r="J1" s="111"/>
      <c r="K1" s="112"/>
    </row>
    <row r="2" spans="1:11" x14ac:dyDescent="0.3">
      <c r="A2" s="111"/>
      <c r="B2" s="111"/>
      <c r="C2" s="111"/>
      <c r="D2" s="111"/>
      <c r="E2" s="111"/>
      <c r="F2" s="111"/>
      <c r="G2" s="111"/>
      <c r="H2" s="111"/>
      <c r="I2" s="111"/>
      <c r="J2" s="111"/>
      <c r="K2" s="112"/>
    </row>
    <row r="3" spans="1:11" x14ac:dyDescent="0.3">
      <c r="A3" s="111"/>
      <c r="B3" s="111"/>
      <c r="C3" s="111"/>
      <c r="D3" s="111"/>
      <c r="E3" s="111"/>
      <c r="F3" s="111"/>
      <c r="G3" s="111"/>
      <c r="H3" s="111"/>
      <c r="I3" s="111"/>
      <c r="J3" s="111"/>
      <c r="K3" s="112"/>
    </row>
    <row r="4" spans="1:11" x14ac:dyDescent="0.3">
      <c r="A4" s="111"/>
      <c r="B4" s="111"/>
      <c r="C4" s="111"/>
      <c r="D4" s="111"/>
      <c r="E4" s="111"/>
      <c r="F4" s="111"/>
      <c r="G4" s="111"/>
      <c r="H4" s="111"/>
      <c r="I4" s="111"/>
      <c r="J4" s="111"/>
      <c r="K4" s="112"/>
    </row>
    <row r="5" spans="1:11" x14ac:dyDescent="0.3">
      <c r="A5" s="111"/>
      <c r="B5" s="111"/>
      <c r="C5" s="111"/>
      <c r="D5" s="111"/>
      <c r="E5" s="111"/>
      <c r="F5" s="111"/>
      <c r="G5" s="111"/>
      <c r="H5" s="111"/>
      <c r="I5" s="111"/>
      <c r="J5" s="111"/>
      <c r="K5" s="112"/>
    </row>
    <row r="6" spans="1:11" x14ac:dyDescent="0.3">
      <c r="A6" s="111"/>
      <c r="B6" s="111"/>
      <c r="C6" s="111"/>
      <c r="D6" s="111"/>
      <c r="E6" s="111"/>
      <c r="F6" s="111"/>
      <c r="G6" s="111"/>
      <c r="H6" s="111"/>
      <c r="I6" s="111"/>
      <c r="J6" s="111"/>
      <c r="K6" s="112"/>
    </row>
    <row r="7" spans="1:11" x14ac:dyDescent="0.3">
      <c r="A7" s="111"/>
      <c r="B7" s="111"/>
      <c r="C7" s="111"/>
      <c r="D7" s="111"/>
      <c r="E7" s="111"/>
      <c r="F7" s="111"/>
      <c r="G7" s="111"/>
      <c r="H7" s="111"/>
      <c r="I7" s="111"/>
      <c r="J7" s="111"/>
      <c r="K7" s="112"/>
    </row>
    <row r="8" spans="1:11" x14ac:dyDescent="0.3">
      <c r="A8" s="111"/>
      <c r="B8" s="111"/>
      <c r="C8" s="111"/>
      <c r="D8" s="111"/>
      <c r="E8" s="111"/>
      <c r="F8" s="111"/>
      <c r="G8" s="111"/>
      <c r="H8" s="111"/>
      <c r="I8" s="111"/>
      <c r="J8" s="111"/>
      <c r="K8" s="112"/>
    </row>
    <row r="9" spans="1:11" x14ac:dyDescent="0.3">
      <c r="A9" s="111"/>
      <c r="B9" s="111"/>
      <c r="C9" s="111"/>
      <c r="D9" s="111"/>
      <c r="E9" s="111"/>
      <c r="F9" s="111"/>
      <c r="G9" s="111"/>
      <c r="H9" s="111"/>
      <c r="I9" s="111"/>
      <c r="J9" s="111"/>
      <c r="K9" s="112"/>
    </row>
    <row r="10" spans="1:11" x14ac:dyDescent="0.3">
      <c r="A10" s="111"/>
      <c r="B10" s="111"/>
      <c r="C10" s="111"/>
      <c r="D10" s="111"/>
      <c r="E10" s="111"/>
      <c r="F10" s="111"/>
      <c r="G10" s="111"/>
      <c r="H10" s="111"/>
      <c r="I10" s="111"/>
      <c r="J10" s="111"/>
      <c r="K10" s="112"/>
    </row>
    <row r="11" spans="1:11" x14ac:dyDescent="0.3">
      <c r="A11" s="111"/>
      <c r="B11" s="111"/>
      <c r="C11" s="111"/>
      <c r="D11" s="111"/>
      <c r="E11" s="111"/>
      <c r="F11" s="111"/>
      <c r="G11" s="111"/>
      <c r="H11" s="111"/>
      <c r="I11" s="111"/>
      <c r="J11" s="111"/>
      <c r="K11" s="112"/>
    </row>
    <row r="12" spans="1:11" x14ac:dyDescent="0.3">
      <c r="A12" s="111"/>
      <c r="B12" s="111"/>
      <c r="C12" s="111"/>
      <c r="D12" s="111"/>
      <c r="E12" s="111"/>
      <c r="F12" s="111"/>
      <c r="G12" s="111"/>
      <c r="H12" s="111"/>
      <c r="I12" s="111"/>
      <c r="J12" s="111"/>
      <c r="K12" s="112"/>
    </row>
    <row r="13" spans="1:11" x14ac:dyDescent="0.3">
      <c r="A13" s="111"/>
      <c r="B13" s="111"/>
      <c r="C13" s="111"/>
      <c r="D13" s="111"/>
      <c r="E13" s="111"/>
      <c r="F13" s="111"/>
      <c r="G13" s="111"/>
      <c r="H13" s="111"/>
      <c r="I13" s="111"/>
      <c r="J13" s="111"/>
      <c r="K13" s="112"/>
    </row>
    <row r="14" spans="1:11" x14ac:dyDescent="0.3">
      <c r="A14" s="111"/>
      <c r="B14" s="111"/>
      <c r="C14" s="111"/>
      <c r="D14" s="111"/>
      <c r="E14" s="111"/>
      <c r="F14" s="111"/>
      <c r="G14" s="111"/>
      <c r="H14" s="111"/>
      <c r="I14" s="111"/>
      <c r="J14" s="111"/>
      <c r="K14" s="112"/>
    </row>
    <row r="15" spans="1:11" x14ac:dyDescent="0.3">
      <c r="A15" s="111"/>
      <c r="B15" s="111"/>
      <c r="C15" s="111"/>
      <c r="D15" s="111"/>
      <c r="E15" s="111"/>
      <c r="F15" s="111"/>
      <c r="G15" s="111"/>
      <c r="H15" s="111"/>
      <c r="I15" s="111"/>
      <c r="J15" s="111"/>
      <c r="K15" s="112"/>
    </row>
    <row r="16" spans="1:11" x14ac:dyDescent="0.3">
      <c r="A16" s="111"/>
      <c r="B16" s="111"/>
      <c r="C16" s="111"/>
      <c r="D16" s="111"/>
      <c r="E16" s="111"/>
      <c r="F16" s="111"/>
      <c r="G16" s="111"/>
      <c r="H16" s="111"/>
      <c r="I16" s="111"/>
      <c r="J16" s="111"/>
      <c r="K16" s="112"/>
    </row>
    <row r="17" spans="1:11" x14ac:dyDescent="0.3">
      <c r="A17" s="113"/>
      <c r="B17" s="113"/>
      <c r="C17" s="113"/>
      <c r="D17" s="113"/>
      <c r="E17" s="113"/>
      <c r="F17" s="113"/>
      <c r="G17" s="113"/>
      <c r="H17" s="113"/>
      <c r="I17" s="112"/>
      <c r="J17" s="112"/>
      <c r="K17" s="112"/>
    </row>
    <row r="18" spans="1:11" x14ac:dyDescent="0.3">
      <c r="A18" s="113"/>
      <c r="B18" s="113"/>
      <c r="C18" s="113"/>
      <c r="D18" s="113"/>
      <c r="E18" s="113"/>
      <c r="F18" s="113"/>
      <c r="G18" s="113"/>
      <c r="H18" s="113"/>
      <c r="I18" s="112"/>
      <c r="J18" s="112"/>
      <c r="K18" s="112"/>
    </row>
    <row r="19" spans="1:11" x14ac:dyDescent="0.3">
      <c r="A19" s="112"/>
      <c r="B19" s="113"/>
      <c r="C19" s="114" t="s">
        <v>138</v>
      </c>
      <c r="D19" s="115">
        <v>900</v>
      </c>
      <c r="E19" s="115"/>
      <c r="F19" s="113"/>
      <c r="G19" s="116"/>
      <c r="H19" s="113"/>
      <c r="I19" s="112"/>
      <c r="J19" s="112"/>
      <c r="K19" s="112"/>
    </row>
    <row r="20" spans="1:11" x14ac:dyDescent="0.3">
      <c r="A20" s="112"/>
      <c r="B20" s="113"/>
      <c r="C20" s="117" t="s">
        <v>139</v>
      </c>
      <c r="D20" s="118">
        <f>D19*12</f>
        <v>10800</v>
      </c>
      <c r="E20" s="118"/>
      <c r="F20" s="113"/>
      <c r="G20" s="116"/>
      <c r="H20" s="113"/>
      <c r="I20" s="112"/>
      <c r="J20" s="112"/>
      <c r="K20" s="112"/>
    </row>
    <row r="21" spans="1:11" x14ac:dyDescent="0.3">
      <c r="A21" s="112"/>
      <c r="B21" s="113"/>
      <c r="C21" s="117" t="s">
        <v>3</v>
      </c>
      <c r="D21" s="119">
        <v>25</v>
      </c>
      <c r="E21" s="119"/>
      <c r="F21" s="113"/>
      <c r="G21" s="116"/>
      <c r="H21" s="113"/>
      <c r="I21" s="112"/>
      <c r="J21" s="112"/>
      <c r="K21" s="112"/>
    </row>
    <row r="22" spans="1:11" x14ac:dyDescent="0.3">
      <c r="A22" s="112"/>
      <c r="B22" s="113"/>
      <c r="C22" s="117" t="s">
        <v>47</v>
      </c>
      <c r="D22" s="120">
        <v>3</v>
      </c>
      <c r="E22" s="120"/>
      <c r="F22" s="113"/>
      <c r="G22" s="121"/>
      <c r="H22" s="113"/>
      <c r="I22" s="112"/>
      <c r="J22" s="112"/>
      <c r="K22" s="112"/>
    </row>
    <row r="23" spans="1:11" x14ac:dyDescent="0.3">
      <c r="A23" s="112"/>
      <c r="B23" s="113"/>
      <c r="C23" s="117" t="s">
        <v>140</v>
      </c>
      <c r="D23" s="122">
        <v>20</v>
      </c>
      <c r="E23" s="122"/>
      <c r="F23" s="113"/>
      <c r="G23" s="116"/>
      <c r="H23" s="113"/>
      <c r="I23" s="112"/>
      <c r="J23" s="112"/>
      <c r="K23" s="112"/>
    </row>
    <row r="24" spans="1:11" x14ac:dyDescent="0.3">
      <c r="A24" s="112"/>
      <c r="B24" s="113"/>
      <c r="C24" s="123" t="s">
        <v>141</v>
      </c>
      <c r="D24" s="124">
        <v>250</v>
      </c>
      <c r="E24" s="124"/>
      <c r="F24" s="113"/>
      <c r="G24" s="125"/>
      <c r="H24" s="113"/>
      <c r="I24" s="112"/>
      <c r="J24" s="112"/>
      <c r="K24" s="112"/>
    </row>
    <row r="25" spans="1:11" x14ac:dyDescent="0.3">
      <c r="A25" s="112"/>
      <c r="B25" s="113"/>
      <c r="C25" s="126"/>
      <c r="D25" s="127"/>
      <c r="E25" s="127"/>
      <c r="F25" s="113"/>
      <c r="G25" s="125"/>
      <c r="H25" s="113"/>
      <c r="I25" s="112"/>
      <c r="J25" s="112"/>
      <c r="K25" s="112"/>
    </row>
    <row r="26" spans="1:11" x14ac:dyDescent="0.3">
      <c r="A26" s="112"/>
      <c r="B26" s="113"/>
      <c r="C26" s="117" t="s">
        <v>55</v>
      </c>
      <c r="D26" s="128">
        <v>0.6</v>
      </c>
      <c r="E26" s="128"/>
      <c r="F26" s="113"/>
      <c r="G26" s="116"/>
      <c r="H26" s="113"/>
      <c r="I26" s="112"/>
      <c r="J26" s="112"/>
      <c r="K26" s="112"/>
    </row>
    <row r="27" spans="1:11" x14ac:dyDescent="0.3">
      <c r="A27" s="112"/>
      <c r="B27" s="113"/>
      <c r="C27" s="117" t="s">
        <v>56</v>
      </c>
      <c r="D27" s="129">
        <v>1</v>
      </c>
      <c r="E27" s="129"/>
      <c r="F27" s="113"/>
      <c r="G27" s="116"/>
      <c r="H27" s="113"/>
      <c r="I27" s="112"/>
      <c r="J27" s="112"/>
      <c r="K27" s="112"/>
    </row>
    <row r="28" spans="1:11" ht="15.6" x14ac:dyDescent="0.35">
      <c r="A28" s="112"/>
      <c r="B28" s="113"/>
      <c r="C28" s="117" t="s">
        <v>142</v>
      </c>
      <c r="D28" s="130">
        <v>5</v>
      </c>
      <c r="E28" s="130"/>
      <c r="F28" s="113"/>
      <c r="G28" s="116"/>
      <c r="H28" s="113"/>
      <c r="I28" s="112"/>
      <c r="J28" s="112"/>
      <c r="K28" s="112"/>
    </row>
    <row r="29" spans="1:11" x14ac:dyDescent="0.3">
      <c r="A29" s="113"/>
      <c r="B29" s="113"/>
      <c r="C29" s="113"/>
      <c r="D29" s="131"/>
      <c r="E29" s="113"/>
      <c r="F29" s="113"/>
      <c r="G29" s="113"/>
      <c r="H29" s="113"/>
      <c r="I29" s="112"/>
      <c r="J29" s="112"/>
      <c r="K29" s="112"/>
    </row>
    <row r="30" spans="1:11" x14ac:dyDescent="0.3">
      <c r="A30" s="113"/>
      <c r="B30" s="113"/>
      <c r="C30" s="113"/>
      <c r="D30" s="113"/>
      <c r="E30" s="113"/>
      <c r="F30" s="113"/>
      <c r="G30" s="113"/>
      <c r="H30" s="113"/>
      <c r="I30" s="112"/>
      <c r="J30" s="112"/>
      <c r="K30" s="112"/>
    </row>
    <row r="31" spans="1:11" x14ac:dyDescent="0.3">
      <c r="A31" s="112"/>
      <c r="B31" s="112"/>
      <c r="C31" s="112"/>
      <c r="D31" s="112"/>
      <c r="E31" s="112"/>
      <c r="F31" s="112"/>
      <c r="G31" s="112"/>
      <c r="H31" s="112"/>
      <c r="I31" s="112"/>
      <c r="J31" s="112"/>
      <c r="K31" s="112"/>
    </row>
    <row r="32" spans="1:11" ht="15" thickBot="1" x14ac:dyDescent="0.35">
      <c r="A32" s="112"/>
      <c r="B32" s="132" t="s">
        <v>143</v>
      </c>
      <c r="C32" s="133" t="s">
        <v>144</v>
      </c>
      <c r="D32" s="116" t="s">
        <v>145</v>
      </c>
      <c r="E32" s="134"/>
      <c r="F32" s="133" t="s">
        <v>144</v>
      </c>
      <c r="G32" s="135">
        <f>SQRT((2*D21*D20)/D26)</f>
        <v>948.68329805051383</v>
      </c>
      <c r="H32" s="112"/>
      <c r="I32" s="112"/>
      <c r="J32" s="112"/>
      <c r="K32" s="112"/>
    </row>
    <row r="33" spans="1:11" x14ac:dyDescent="0.3">
      <c r="A33" s="112"/>
      <c r="B33" s="132"/>
      <c r="C33" s="133"/>
      <c r="D33" s="136" t="s">
        <v>146</v>
      </c>
      <c r="E33" s="134"/>
      <c r="F33" s="133"/>
      <c r="G33" s="135"/>
      <c r="H33" s="112"/>
      <c r="I33" s="112"/>
      <c r="J33" s="112"/>
      <c r="K33" s="112"/>
    </row>
    <row r="34" spans="1:11" x14ac:dyDescent="0.3">
      <c r="A34" s="112"/>
      <c r="B34" s="137"/>
      <c r="C34" s="138"/>
      <c r="D34" s="116"/>
      <c r="E34" s="134"/>
      <c r="F34" s="138"/>
      <c r="G34" s="139"/>
      <c r="H34" s="112"/>
      <c r="I34" s="112"/>
      <c r="J34" s="112"/>
      <c r="K34" s="112"/>
    </row>
    <row r="35" spans="1:11" x14ac:dyDescent="0.3">
      <c r="A35" s="112"/>
      <c r="B35" s="137"/>
      <c r="C35" s="138"/>
      <c r="D35" s="116"/>
      <c r="E35" s="134"/>
      <c r="F35" s="140" t="s">
        <v>144</v>
      </c>
      <c r="G35" s="141">
        <v>949</v>
      </c>
      <c r="H35" s="112"/>
      <c r="I35" s="112"/>
      <c r="J35" s="112"/>
      <c r="K35" s="112"/>
    </row>
    <row r="36" spans="1:11" x14ac:dyDescent="0.3">
      <c r="A36" s="112"/>
      <c r="B36" s="137"/>
      <c r="C36" s="138"/>
      <c r="D36" s="116"/>
      <c r="E36" s="134"/>
      <c r="F36" s="140"/>
      <c r="G36" s="141"/>
      <c r="H36" s="112"/>
      <c r="I36" s="112"/>
      <c r="J36" s="112"/>
      <c r="K36" s="112"/>
    </row>
    <row r="37" spans="1:11" x14ac:dyDescent="0.3">
      <c r="A37" s="112"/>
      <c r="B37" s="137"/>
      <c r="C37" s="138"/>
      <c r="D37" s="116"/>
      <c r="E37" s="134"/>
      <c r="F37" s="138"/>
      <c r="G37" s="139"/>
      <c r="H37" s="112"/>
      <c r="I37" s="112"/>
      <c r="J37" s="112"/>
      <c r="K37" s="112"/>
    </row>
    <row r="38" spans="1:11" x14ac:dyDescent="0.3">
      <c r="A38" s="112"/>
      <c r="B38" s="112"/>
      <c r="C38" s="112"/>
      <c r="D38" s="112"/>
      <c r="E38" s="112"/>
      <c r="F38" s="112"/>
      <c r="G38" s="112"/>
      <c r="H38" s="112"/>
      <c r="I38" s="112"/>
      <c r="J38" s="112"/>
      <c r="K38" s="112"/>
    </row>
    <row r="39" spans="1:11" ht="15" thickBot="1" x14ac:dyDescent="0.35">
      <c r="A39" s="112"/>
      <c r="B39" s="132" t="s">
        <v>147</v>
      </c>
      <c r="C39" s="133" t="s">
        <v>148</v>
      </c>
      <c r="D39" s="116" t="s">
        <v>44</v>
      </c>
      <c r="E39" s="125"/>
      <c r="F39" s="133" t="s">
        <v>148</v>
      </c>
      <c r="G39" s="142">
        <f>D20/G35</f>
        <v>11.380400421496311</v>
      </c>
      <c r="H39" s="112"/>
      <c r="I39" s="112"/>
      <c r="J39" s="112"/>
      <c r="K39" s="112"/>
    </row>
    <row r="40" spans="1:11" ht="15.6" x14ac:dyDescent="0.3">
      <c r="A40" s="112"/>
      <c r="B40" s="132"/>
      <c r="C40" s="133"/>
      <c r="D40" s="136" t="s">
        <v>149</v>
      </c>
      <c r="E40" s="125"/>
      <c r="F40" s="133"/>
      <c r="G40" s="142"/>
      <c r="H40" s="112"/>
      <c r="I40" s="112"/>
      <c r="J40" s="112"/>
      <c r="K40" s="112"/>
    </row>
    <row r="41" spans="1:11" x14ac:dyDescent="0.3">
      <c r="A41" s="112"/>
      <c r="B41" s="112"/>
      <c r="C41" s="112"/>
      <c r="D41" s="112"/>
      <c r="E41" s="112"/>
      <c r="F41" s="112"/>
      <c r="G41" s="112"/>
      <c r="H41" s="112"/>
      <c r="I41" s="112"/>
      <c r="J41" s="112"/>
      <c r="K41" s="112"/>
    </row>
    <row r="42" spans="1:11" x14ac:dyDescent="0.3">
      <c r="A42" s="112"/>
      <c r="B42" s="112"/>
      <c r="C42" s="112"/>
      <c r="D42" s="112"/>
      <c r="E42" s="143"/>
      <c r="F42" s="140" t="s">
        <v>148</v>
      </c>
      <c r="G42" s="144">
        <v>12</v>
      </c>
      <c r="H42" s="112"/>
      <c r="I42" s="112"/>
      <c r="J42" s="112"/>
      <c r="K42" s="112"/>
    </row>
    <row r="43" spans="1:11" x14ac:dyDescent="0.3">
      <c r="A43" s="112"/>
      <c r="B43" s="112"/>
      <c r="C43" s="112"/>
      <c r="D43" s="112"/>
      <c r="E43" s="143"/>
      <c r="F43" s="140"/>
      <c r="G43" s="144"/>
      <c r="H43" s="112"/>
      <c r="I43" s="112"/>
      <c r="J43" s="112"/>
      <c r="K43" s="112"/>
    </row>
    <row r="44" spans="1:11" x14ac:dyDescent="0.3">
      <c r="A44" s="112"/>
      <c r="B44" s="112"/>
      <c r="C44" s="112"/>
      <c r="D44" s="112"/>
      <c r="E44" s="143"/>
      <c r="F44" s="138"/>
      <c r="G44" s="145"/>
      <c r="H44" s="112"/>
      <c r="I44" s="112"/>
      <c r="J44" s="112"/>
      <c r="K44" s="112"/>
    </row>
    <row r="45" spans="1:11" x14ac:dyDescent="0.3">
      <c r="A45" s="112"/>
      <c r="B45" s="112"/>
      <c r="C45" s="112"/>
      <c r="D45" s="112"/>
      <c r="E45" s="112"/>
      <c r="F45" s="112"/>
      <c r="G45" s="112"/>
      <c r="H45" s="112"/>
      <c r="I45" s="112"/>
      <c r="J45" s="112"/>
      <c r="K45" s="112"/>
    </row>
    <row r="46" spans="1:11" ht="15" thickBot="1" x14ac:dyDescent="0.35">
      <c r="A46" s="112"/>
      <c r="B46" s="132" t="s">
        <v>150</v>
      </c>
      <c r="C46" s="133" t="s">
        <v>151</v>
      </c>
      <c r="D46" s="116" t="s">
        <v>152</v>
      </c>
      <c r="E46" s="125"/>
      <c r="F46" s="133" t="s">
        <v>153</v>
      </c>
      <c r="G46" s="146">
        <f>D24/G42</f>
        <v>20.833333333333332</v>
      </c>
      <c r="H46" s="147"/>
      <c r="I46" s="112"/>
      <c r="J46" s="112"/>
      <c r="K46" s="112"/>
    </row>
    <row r="47" spans="1:11" x14ac:dyDescent="0.3">
      <c r="A47" s="112"/>
      <c r="B47" s="132"/>
      <c r="C47" s="133"/>
      <c r="D47" s="136" t="s">
        <v>4</v>
      </c>
      <c r="E47" s="125"/>
      <c r="F47" s="133"/>
      <c r="G47" s="146"/>
      <c r="H47" s="147"/>
      <c r="I47" s="112"/>
      <c r="J47" s="112"/>
      <c r="K47" s="112"/>
    </row>
    <row r="48" spans="1:11" x14ac:dyDescent="0.3">
      <c r="A48" s="112"/>
      <c r="B48" s="137"/>
      <c r="C48" s="138"/>
      <c r="D48" s="116"/>
      <c r="E48" s="116"/>
      <c r="F48" s="138"/>
      <c r="G48" s="148"/>
      <c r="H48" s="112"/>
      <c r="I48" s="112"/>
      <c r="J48" s="112"/>
      <c r="K48" s="112"/>
    </row>
    <row r="49" spans="1:11" x14ac:dyDescent="0.3">
      <c r="A49" s="112"/>
      <c r="B49" s="137"/>
      <c r="C49" s="138"/>
      <c r="D49" s="116"/>
      <c r="E49" s="116"/>
      <c r="F49" s="138"/>
      <c r="G49" s="148"/>
      <c r="H49" s="112"/>
      <c r="I49" s="112"/>
      <c r="J49" s="112"/>
      <c r="K49" s="112"/>
    </row>
    <row r="50" spans="1:11" x14ac:dyDescent="0.3">
      <c r="A50" s="112"/>
      <c r="B50" s="137"/>
      <c r="C50" s="138"/>
      <c r="D50" s="116"/>
      <c r="E50" s="116"/>
      <c r="F50" s="140" t="s">
        <v>153</v>
      </c>
      <c r="G50" s="149">
        <v>20</v>
      </c>
      <c r="H50" s="112"/>
      <c r="I50" s="112"/>
      <c r="J50" s="112"/>
      <c r="K50" s="112"/>
    </row>
    <row r="51" spans="1:11" x14ac:dyDescent="0.3">
      <c r="A51" s="112"/>
      <c r="B51" s="137"/>
      <c r="C51" s="138"/>
      <c r="D51" s="116"/>
      <c r="E51" s="116"/>
      <c r="F51" s="140"/>
      <c r="G51" s="149"/>
      <c r="H51" s="112"/>
      <c r="I51" s="112"/>
      <c r="J51" s="112"/>
      <c r="K51" s="112"/>
    </row>
    <row r="52" spans="1:11" x14ac:dyDescent="0.3">
      <c r="A52" s="112"/>
      <c r="B52" s="137"/>
      <c r="C52" s="138"/>
      <c r="D52" s="116"/>
      <c r="E52" s="116"/>
      <c r="F52" s="138"/>
      <c r="G52" s="150"/>
      <c r="H52" s="112"/>
      <c r="I52" s="112"/>
      <c r="J52" s="112"/>
      <c r="K52" s="112"/>
    </row>
    <row r="53" spans="1:11" x14ac:dyDescent="0.3">
      <c r="A53" s="112"/>
      <c r="B53" s="112"/>
      <c r="C53" s="112"/>
      <c r="D53" s="112"/>
      <c r="E53" s="112"/>
      <c r="F53" s="112"/>
      <c r="G53" s="112"/>
      <c r="H53" s="112"/>
      <c r="I53" s="112"/>
      <c r="J53" s="112"/>
      <c r="K53" s="112"/>
    </row>
    <row r="54" spans="1:11" ht="15" customHeight="1" x14ac:dyDescent="0.3">
      <c r="A54" s="112"/>
      <c r="B54" s="132" t="s">
        <v>154</v>
      </c>
      <c r="C54" s="151" t="s">
        <v>155</v>
      </c>
      <c r="D54" s="151"/>
      <c r="E54" s="151"/>
      <c r="F54" s="151"/>
      <c r="G54" s="112"/>
      <c r="H54" s="112"/>
      <c r="I54" s="112"/>
      <c r="J54" s="112"/>
      <c r="K54" s="112"/>
    </row>
    <row r="55" spans="1:11" ht="15" customHeight="1" x14ac:dyDescent="0.3">
      <c r="A55" s="112"/>
      <c r="B55" s="132"/>
      <c r="C55" s="151"/>
      <c r="D55" s="151"/>
      <c r="E55" s="151"/>
      <c r="F55" s="151"/>
      <c r="G55" s="112"/>
      <c r="H55" s="112"/>
      <c r="I55" s="112"/>
      <c r="J55" s="112"/>
      <c r="K55" s="112"/>
    </row>
    <row r="56" spans="1:11" x14ac:dyDescent="0.3">
      <c r="A56" s="112"/>
      <c r="B56" s="112"/>
      <c r="C56" s="112"/>
      <c r="D56" s="112"/>
      <c r="E56" s="112"/>
      <c r="F56" s="112"/>
      <c r="G56" s="112"/>
      <c r="H56" s="112"/>
      <c r="I56" s="112"/>
      <c r="J56" s="112"/>
      <c r="K56" s="112"/>
    </row>
    <row r="57" spans="1:11" ht="15" customHeight="1" x14ac:dyDescent="0.3">
      <c r="A57" s="112"/>
      <c r="B57" s="112"/>
      <c r="C57" s="151" t="s">
        <v>156</v>
      </c>
      <c r="D57" s="151"/>
      <c r="E57" s="151"/>
      <c r="F57" s="151"/>
      <c r="G57" s="112"/>
      <c r="H57" s="112"/>
      <c r="I57" s="112"/>
      <c r="J57" s="112"/>
      <c r="K57" s="112"/>
    </row>
    <row r="58" spans="1:11" ht="15" customHeight="1" x14ac:dyDescent="0.3">
      <c r="A58" s="112"/>
      <c r="B58" s="112"/>
      <c r="C58" s="151"/>
      <c r="D58" s="151"/>
      <c r="E58" s="151"/>
      <c r="F58" s="151"/>
      <c r="G58" s="112"/>
      <c r="H58" s="112"/>
      <c r="I58" s="112"/>
      <c r="J58" s="112"/>
      <c r="K58" s="112"/>
    </row>
    <row r="59" spans="1:11" x14ac:dyDescent="0.3">
      <c r="A59" s="112"/>
      <c r="B59" s="112"/>
      <c r="C59" s="112"/>
      <c r="D59" s="112"/>
      <c r="E59" s="112"/>
      <c r="F59" s="112"/>
      <c r="G59" s="112"/>
      <c r="H59" s="112"/>
      <c r="I59" s="112"/>
      <c r="J59" s="112"/>
      <c r="K59" s="112"/>
    </row>
    <row r="60" spans="1:11" x14ac:dyDescent="0.3">
      <c r="A60" s="112"/>
      <c r="B60" s="112"/>
      <c r="C60" s="140" t="s">
        <v>30</v>
      </c>
      <c r="D60" s="140"/>
      <c r="E60" s="152" t="s">
        <v>97</v>
      </c>
      <c r="F60" s="153">
        <f>D22*G35*G42</f>
        <v>34164</v>
      </c>
      <c r="G60" s="112"/>
      <c r="H60" s="112"/>
      <c r="I60" s="112"/>
      <c r="J60" s="112"/>
      <c r="K60" s="112"/>
    </row>
    <row r="61" spans="1:11" x14ac:dyDescent="0.3">
      <c r="A61" s="112"/>
      <c r="B61" s="112"/>
      <c r="C61" s="140" t="s">
        <v>157</v>
      </c>
      <c r="D61" s="140"/>
      <c r="E61" s="152" t="s">
        <v>97</v>
      </c>
      <c r="F61" s="153">
        <f>D21*G42</f>
        <v>300</v>
      </c>
      <c r="G61" s="112"/>
      <c r="H61" s="112"/>
      <c r="I61" s="112"/>
      <c r="J61" s="112"/>
      <c r="K61" s="112"/>
    </row>
    <row r="62" spans="1:11" x14ac:dyDescent="0.3">
      <c r="A62" s="112"/>
      <c r="B62" s="112"/>
      <c r="C62" s="140" t="s">
        <v>5</v>
      </c>
      <c r="D62" s="140"/>
      <c r="E62" s="152" t="s">
        <v>97</v>
      </c>
      <c r="F62" s="153">
        <f>(D26*G35*D27)/2</f>
        <v>284.7</v>
      </c>
      <c r="G62" s="112"/>
      <c r="H62" s="112"/>
      <c r="I62" s="112"/>
      <c r="J62" s="112"/>
      <c r="K62" s="112"/>
    </row>
    <row r="63" spans="1:11" x14ac:dyDescent="0.3">
      <c r="A63" s="112"/>
      <c r="B63" s="112"/>
      <c r="C63" s="112"/>
      <c r="D63" s="112"/>
      <c r="E63" s="112"/>
      <c r="F63" s="112"/>
      <c r="G63" s="112"/>
      <c r="H63" s="112"/>
      <c r="I63" s="112"/>
      <c r="J63" s="112"/>
      <c r="K63" s="112"/>
    </row>
    <row r="64" spans="1:11" x14ac:dyDescent="0.3">
      <c r="A64" s="112"/>
      <c r="B64" s="112"/>
      <c r="C64" s="154" t="s">
        <v>158</v>
      </c>
      <c r="D64" s="154"/>
      <c r="E64" s="155" t="s">
        <v>97</v>
      </c>
      <c r="F64" s="156">
        <f>SUM(F60:F62)</f>
        <v>34748.699999999997</v>
      </c>
      <c r="H64" s="112"/>
      <c r="I64" s="112"/>
      <c r="J64" s="112"/>
      <c r="K64" s="112"/>
    </row>
    <row r="65" spans="1:11" x14ac:dyDescent="0.3">
      <c r="A65" s="112"/>
      <c r="B65" s="112"/>
      <c r="C65" s="112"/>
      <c r="D65" s="112"/>
      <c r="E65" s="112"/>
      <c r="F65" s="112"/>
      <c r="G65" s="112"/>
      <c r="H65" s="112"/>
      <c r="I65" s="112"/>
      <c r="J65" s="112"/>
      <c r="K65" s="112"/>
    </row>
    <row r="66" spans="1:11" x14ac:dyDescent="0.3">
      <c r="A66" s="112"/>
      <c r="B66" s="112"/>
      <c r="C66" s="112"/>
      <c r="D66" s="112"/>
      <c r="E66" s="112"/>
      <c r="F66" s="112"/>
      <c r="G66" s="112"/>
      <c r="H66" s="112"/>
      <c r="I66" s="112"/>
      <c r="J66" s="112"/>
      <c r="K66" s="112"/>
    </row>
    <row r="67" spans="1:11" x14ac:dyDescent="0.3">
      <c r="A67" s="112"/>
      <c r="B67" s="112"/>
      <c r="C67" s="112"/>
      <c r="D67" s="112"/>
      <c r="E67" s="112"/>
      <c r="F67" s="112"/>
      <c r="G67" s="112"/>
      <c r="H67" s="112"/>
      <c r="I67" s="112"/>
      <c r="J67" s="112"/>
      <c r="K67" s="112"/>
    </row>
    <row r="68" spans="1:11" x14ac:dyDescent="0.3">
      <c r="A68" s="112"/>
      <c r="B68" s="112"/>
      <c r="C68" s="112"/>
      <c r="D68" s="112"/>
      <c r="E68" s="112"/>
      <c r="F68" s="112"/>
      <c r="G68" s="112"/>
      <c r="H68" s="112"/>
      <c r="I68" s="112"/>
      <c r="J68" s="112"/>
      <c r="K68" s="112"/>
    </row>
    <row r="69" spans="1:11" x14ac:dyDescent="0.3">
      <c r="A69" s="112"/>
      <c r="B69" s="132" t="s">
        <v>159</v>
      </c>
      <c r="C69" s="112"/>
      <c r="D69" s="112"/>
      <c r="E69" s="112"/>
      <c r="F69" s="112"/>
      <c r="G69" s="112"/>
      <c r="H69" s="112"/>
      <c r="I69" s="112"/>
      <c r="J69" s="112"/>
      <c r="K69" s="112"/>
    </row>
    <row r="70" spans="1:11" x14ac:dyDescent="0.3">
      <c r="A70" s="112"/>
      <c r="B70" s="132"/>
      <c r="C70" s="112"/>
      <c r="D70" s="112"/>
      <c r="E70" s="112"/>
      <c r="F70" s="112"/>
      <c r="G70" s="112"/>
      <c r="H70" s="112"/>
      <c r="I70" s="112"/>
      <c r="J70" s="112"/>
      <c r="K70" s="112"/>
    </row>
    <row r="71" spans="1:11" x14ac:dyDescent="0.3">
      <c r="A71" s="112"/>
      <c r="B71" s="112"/>
      <c r="C71" s="112"/>
      <c r="D71" s="112"/>
      <c r="E71" s="112"/>
      <c r="F71" s="112"/>
      <c r="G71" s="112"/>
      <c r="H71" s="112"/>
      <c r="I71" s="112"/>
      <c r="J71" s="112"/>
      <c r="K71" s="112"/>
    </row>
    <row r="72" spans="1:11" x14ac:dyDescent="0.3">
      <c r="A72" s="112"/>
      <c r="B72" s="112"/>
      <c r="C72" s="112"/>
      <c r="D72" s="112"/>
      <c r="E72" s="112"/>
      <c r="F72" s="112"/>
      <c r="G72" s="112"/>
      <c r="H72" s="112"/>
      <c r="I72" s="112"/>
      <c r="J72" s="112"/>
      <c r="K72" s="112"/>
    </row>
    <row r="73" spans="1:11" x14ac:dyDescent="0.3">
      <c r="A73" s="112"/>
      <c r="B73" s="112"/>
      <c r="C73" s="112"/>
      <c r="D73" s="112"/>
      <c r="E73" s="112"/>
      <c r="F73" s="112"/>
      <c r="G73" s="112"/>
      <c r="H73" s="112"/>
      <c r="I73" s="112"/>
      <c r="J73" s="112"/>
      <c r="K73" s="112"/>
    </row>
    <row r="74" spans="1:11" x14ac:dyDescent="0.3">
      <c r="A74" s="112"/>
      <c r="B74" s="112"/>
      <c r="C74" s="112"/>
      <c r="D74" s="112"/>
      <c r="E74" s="112"/>
      <c r="F74" s="112"/>
      <c r="G74" s="112"/>
      <c r="H74" s="112"/>
      <c r="I74" s="112"/>
      <c r="J74" s="112"/>
      <c r="K74" s="112"/>
    </row>
    <row r="75" spans="1:11" x14ac:dyDescent="0.3">
      <c r="A75" s="112"/>
      <c r="B75" s="112"/>
      <c r="C75" s="112"/>
      <c r="D75" s="112"/>
      <c r="E75" s="112"/>
      <c r="F75" s="112"/>
      <c r="G75" s="112"/>
      <c r="H75" s="112"/>
      <c r="I75" s="112"/>
      <c r="J75" s="112"/>
      <c r="K75" s="112"/>
    </row>
    <row r="76" spans="1:11" x14ac:dyDescent="0.3">
      <c r="A76" s="112"/>
      <c r="B76" s="112"/>
      <c r="C76" s="112"/>
      <c r="D76" s="112"/>
      <c r="E76" s="112"/>
      <c r="F76" s="112"/>
      <c r="G76" s="112"/>
      <c r="H76" s="112"/>
      <c r="I76" s="112"/>
      <c r="J76" s="112"/>
      <c r="K76" s="112"/>
    </row>
    <row r="77" spans="1:11" x14ac:dyDescent="0.3">
      <c r="A77" s="112"/>
      <c r="B77" s="112"/>
      <c r="C77" s="112"/>
      <c r="D77" s="112"/>
      <c r="E77" s="112"/>
      <c r="F77" s="112"/>
      <c r="G77" s="112"/>
      <c r="H77" s="112"/>
      <c r="I77" s="112"/>
      <c r="J77" s="112"/>
      <c r="K77" s="112"/>
    </row>
    <row r="78" spans="1:11" x14ac:dyDescent="0.3">
      <c r="A78" s="112"/>
      <c r="B78" s="112"/>
      <c r="C78" s="112"/>
      <c r="D78" s="112"/>
      <c r="E78" s="112"/>
      <c r="F78" s="112"/>
      <c r="G78" s="112"/>
      <c r="H78" s="112"/>
      <c r="I78" s="112"/>
      <c r="J78" s="112"/>
      <c r="K78" s="112"/>
    </row>
    <row r="79" spans="1:11" x14ac:dyDescent="0.3">
      <c r="A79" s="112"/>
      <c r="B79" s="112"/>
      <c r="C79" s="112"/>
      <c r="D79" s="112"/>
      <c r="E79" s="112"/>
      <c r="F79" s="112"/>
      <c r="G79" s="112"/>
      <c r="H79" s="112"/>
      <c r="I79" s="112"/>
      <c r="J79" s="112"/>
      <c r="K79" s="112"/>
    </row>
    <row r="80" spans="1:11" x14ac:dyDescent="0.3">
      <c r="A80" s="112"/>
      <c r="B80" s="112"/>
      <c r="C80" s="112"/>
      <c r="D80" s="112"/>
      <c r="E80" s="112"/>
      <c r="F80" s="112"/>
      <c r="G80" s="112"/>
      <c r="H80" s="112"/>
      <c r="I80" s="112"/>
      <c r="J80" s="112"/>
      <c r="K80" s="112"/>
    </row>
    <row r="81" spans="1:11" x14ac:dyDescent="0.3">
      <c r="A81" s="112"/>
      <c r="B81" s="112"/>
      <c r="C81" s="112"/>
      <c r="D81" s="112"/>
      <c r="E81" s="112"/>
      <c r="F81" s="112"/>
      <c r="G81" s="112"/>
      <c r="H81" s="112"/>
      <c r="I81" s="112"/>
      <c r="J81" s="112"/>
      <c r="K81" s="112"/>
    </row>
    <row r="82" spans="1:11" x14ac:dyDescent="0.3">
      <c r="A82" s="112"/>
      <c r="B82" s="112"/>
      <c r="C82" s="112"/>
      <c r="D82" s="112"/>
      <c r="E82" s="112"/>
      <c r="F82" s="112"/>
      <c r="G82" s="112"/>
      <c r="H82" s="112"/>
      <c r="I82" s="112"/>
      <c r="J82" s="112"/>
      <c r="K82" s="112"/>
    </row>
    <row r="83" spans="1:11" ht="16.2" thickBot="1" x14ac:dyDescent="0.35">
      <c r="A83" s="112"/>
      <c r="C83" s="133"/>
      <c r="D83" s="116" t="s">
        <v>149</v>
      </c>
      <c r="E83" s="157" t="s">
        <v>97</v>
      </c>
      <c r="F83" s="116" t="s">
        <v>160</v>
      </c>
      <c r="G83" s="142"/>
      <c r="H83" s="112"/>
      <c r="I83" s="112"/>
      <c r="J83" s="112"/>
      <c r="K83" s="112"/>
    </row>
    <row r="84" spans="1:11" ht="15.6" x14ac:dyDescent="0.3">
      <c r="A84" s="112"/>
      <c r="C84" s="133"/>
      <c r="D84" s="136" t="s">
        <v>161</v>
      </c>
      <c r="E84" s="157"/>
      <c r="F84" s="136" t="s">
        <v>142</v>
      </c>
      <c r="G84" s="142"/>
      <c r="H84" s="112"/>
      <c r="I84" s="112"/>
      <c r="J84" s="112"/>
      <c r="K84" s="112"/>
    </row>
    <row r="85" spans="1:11" x14ac:dyDescent="0.3">
      <c r="A85" s="112"/>
      <c r="B85" s="112"/>
      <c r="C85" s="112"/>
      <c r="D85" s="112"/>
      <c r="E85" s="112"/>
      <c r="F85" s="112"/>
      <c r="G85" s="112"/>
      <c r="H85" s="112"/>
      <c r="I85" s="112"/>
      <c r="J85" s="112"/>
      <c r="K85" s="112"/>
    </row>
    <row r="86" spans="1:11" x14ac:dyDescent="0.3">
      <c r="A86" s="112"/>
      <c r="B86" s="112"/>
      <c r="C86" s="112"/>
      <c r="D86" s="112"/>
      <c r="E86" s="112"/>
      <c r="F86" s="112"/>
      <c r="G86" s="112"/>
      <c r="H86" s="112"/>
      <c r="I86" s="112"/>
      <c r="J86" s="112"/>
      <c r="K86" s="112"/>
    </row>
    <row r="87" spans="1:11" ht="16.2" thickBot="1" x14ac:dyDescent="0.35">
      <c r="A87" s="112"/>
      <c r="B87" s="112"/>
      <c r="C87" s="133" t="s">
        <v>162</v>
      </c>
      <c r="D87" s="116" t="s">
        <v>163</v>
      </c>
      <c r="E87" s="112"/>
      <c r="F87" s="112"/>
      <c r="G87" s="112"/>
      <c r="H87" s="112"/>
      <c r="I87" s="112"/>
      <c r="J87" s="112"/>
      <c r="K87" s="112"/>
    </row>
    <row r="88" spans="1:11" ht="15.6" x14ac:dyDescent="0.3">
      <c r="A88" s="112"/>
      <c r="B88" s="112"/>
      <c r="C88" s="133"/>
      <c r="D88" s="136" t="s">
        <v>161</v>
      </c>
      <c r="E88" s="112"/>
      <c r="F88" s="112"/>
      <c r="G88" s="112"/>
      <c r="H88" s="112"/>
      <c r="I88" s="112"/>
      <c r="J88" s="112"/>
      <c r="K88" s="112"/>
    </row>
    <row r="89" spans="1:11" x14ac:dyDescent="0.3">
      <c r="A89" s="112"/>
      <c r="B89" s="112"/>
      <c r="C89" s="112"/>
      <c r="D89" s="112"/>
      <c r="E89" s="112"/>
      <c r="F89" s="112"/>
      <c r="G89" s="112"/>
      <c r="H89" s="112"/>
      <c r="I89" s="112"/>
      <c r="J89" s="112"/>
      <c r="K89" s="112"/>
    </row>
    <row r="90" spans="1:11" x14ac:dyDescent="0.3">
      <c r="A90" s="112"/>
      <c r="B90" s="112"/>
      <c r="C90" s="133" t="s">
        <v>162</v>
      </c>
      <c r="D90" s="135">
        <f>(G35*D28)/G50</f>
        <v>237.25</v>
      </c>
      <c r="E90" s="135"/>
      <c r="F90" s="112"/>
      <c r="G90" s="112"/>
      <c r="H90" s="112"/>
      <c r="I90" s="112"/>
      <c r="J90" s="112"/>
      <c r="K90" s="112"/>
    </row>
    <row r="91" spans="1:11" x14ac:dyDescent="0.3">
      <c r="A91" s="112"/>
      <c r="B91" s="112"/>
      <c r="C91" s="133"/>
      <c r="D91" s="135"/>
      <c r="E91" s="135"/>
      <c r="F91" s="112"/>
      <c r="G91" s="112"/>
      <c r="H91" s="112"/>
      <c r="I91" s="112"/>
      <c r="J91" s="112"/>
      <c r="K91" s="112"/>
    </row>
    <row r="92" spans="1:11" x14ac:dyDescent="0.3">
      <c r="A92" s="112"/>
      <c r="B92" s="112"/>
      <c r="C92" s="112"/>
      <c r="D92" s="112"/>
      <c r="E92" s="112"/>
      <c r="F92" s="112"/>
      <c r="G92" s="112"/>
      <c r="H92" s="112"/>
      <c r="I92" s="112"/>
      <c r="J92" s="112"/>
      <c r="K92" s="112"/>
    </row>
    <row r="93" spans="1:11" x14ac:dyDescent="0.3">
      <c r="A93" s="112"/>
      <c r="B93" s="112"/>
      <c r="C93" s="140" t="s">
        <v>162</v>
      </c>
      <c r="D93" s="141">
        <v>237</v>
      </c>
      <c r="E93" s="141"/>
      <c r="F93" s="112"/>
      <c r="G93" s="112"/>
      <c r="H93" s="112"/>
      <c r="I93" s="112"/>
      <c r="J93" s="112"/>
      <c r="K93" s="112"/>
    </row>
    <row r="94" spans="1:11" x14ac:dyDescent="0.3">
      <c r="A94" s="112"/>
      <c r="B94" s="112"/>
      <c r="C94" s="140"/>
      <c r="D94" s="141"/>
      <c r="E94" s="141"/>
      <c r="F94" s="112"/>
      <c r="G94" s="112"/>
      <c r="H94" s="112"/>
      <c r="I94" s="112"/>
      <c r="J94" s="112"/>
      <c r="K94" s="112"/>
    </row>
    <row r="95" spans="1:11" x14ac:dyDescent="0.3">
      <c r="A95" s="112"/>
      <c r="B95" s="112"/>
      <c r="C95" s="112"/>
      <c r="D95" s="112"/>
      <c r="E95" s="112"/>
      <c r="F95" s="112"/>
      <c r="G95" s="112"/>
      <c r="H95" s="112"/>
      <c r="I95" s="112"/>
      <c r="J95" s="112"/>
      <c r="K95" s="112"/>
    </row>
    <row r="96" spans="1:11" x14ac:dyDescent="0.3">
      <c r="A96" s="112"/>
      <c r="B96" s="112"/>
      <c r="C96" s="112"/>
      <c r="D96" s="112"/>
      <c r="E96" s="112"/>
      <c r="F96" s="112"/>
      <c r="G96" s="112"/>
      <c r="H96" s="112"/>
      <c r="I96" s="112"/>
      <c r="J96" s="112"/>
      <c r="K96" s="112"/>
    </row>
    <row r="97" spans="1:11" hidden="1" x14ac:dyDescent="0.3">
      <c r="A97" s="112"/>
      <c r="B97" s="112"/>
      <c r="C97" s="112"/>
      <c r="D97" s="112"/>
      <c r="E97" s="112"/>
      <c r="F97" s="112"/>
      <c r="G97" s="112"/>
      <c r="H97" s="112"/>
      <c r="I97" s="112"/>
      <c r="J97" s="112"/>
      <c r="K97" s="112"/>
    </row>
    <row r="98" spans="1:11" hidden="1" x14ac:dyDescent="0.3">
      <c r="A98" s="112"/>
      <c r="B98" s="112"/>
      <c r="C98" s="112"/>
      <c r="D98" s="112"/>
      <c r="E98" s="112"/>
      <c r="F98" s="112"/>
      <c r="G98" s="112"/>
      <c r="H98" s="112"/>
      <c r="I98" s="112"/>
      <c r="J98" s="112"/>
      <c r="K98" s="112"/>
    </row>
  </sheetData>
  <mergeCells count="49">
    <mergeCell ref="G83:G84"/>
    <mergeCell ref="C87:C88"/>
    <mergeCell ref="C90:C91"/>
    <mergeCell ref="D90:E91"/>
    <mergeCell ref="C93:C94"/>
    <mergeCell ref="D93:E94"/>
    <mergeCell ref="C61:D61"/>
    <mergeCell ref="C62:D62"/>
    <mergeCell ref="C64:D64"/>
    <mergeCell ref="B69:B70"/>
    <mergeCell ref="C83:C84"/>
    <mergeCell ref="E83:E84"/>
    <mergeCell ref="F50:F51"/>
    <mergeCell ref="G50:G51"/>
    <mergeCell ref="B54:B55"/>
    <mergeCell ref="C54:F55"/>
    <mergeCell ref="C57:F58"/>
    <mergeCell ref="C60:D60"/>
    <mergeCell ref="B46:B47"/>
    <mergeCell ref="C46:C47"/>
    <mergeCell ref="E46:E47"/>
    <mergeCell ref="F46:F47"/>
    <mergeCell ref="G46:G47"/>
    <mergeCell ref="H46:H47"/>
    <mergeCell ref="B39:B40"/>
    <mergeCell ref="C39:C40"/>
    <mergeCell ref="E39:E40"/>
    <mergeCell ref="F39:F40"/>
    <mergeCell ref="G39:G40"/>
    <mergeCell ref="F42:F43"/>
    <mergeCell ref="G42:G43"/>
    <mergeCell ref="B32:B33"/>
    <mergeCell ref="C32:C33"/>
    <mergeCell ref="F32:F33"/>
    <mergeCell ref="G32:G33"/>
    <mergeCell ref="F35:F36"/>
    <mergeCell ref="G35:G36"/>
    <mergeCell ref="C24:C25"/>
    <mergeCell ref="D24:E25"/>
    <mergeCell ref="G24:G25"/>
    <mergeCell ref="D26:E26"/>
    <mergeCell ref="D27:E27"/>
    <mergeCell ref="D28:E28"/>
    <mergeCell ref="A1:J16"/>
    <mergeCell ref="D19:E19"/>
    <mergeCell ref="D20:E20"/>
    <mergeCell ref="D21:E21"/>
    <mergeCell ref="D22:E22"/>
    <mergeCell ref="D23:E2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Ej 1</vt:lpstr>
      <vt:lpstr>Ej 2</vt:lpstr>
      <vt:lpstr>Ej 3</vt:lpstr>
      <vt:lpstr>Ej 4</vt:lpstr>
      <vt:lpstr>Ej 5</vt:lpstr>
      <vt:lpstr>Ej 6</vt:lpstr>
      <vt:lpstr>Ej 7</vt:lpstr>
      <vt:lpstr>Ej 8</vt:lpstr>
      <vt:lpstr>Ej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BENEVENIA, FLORENCIA</dc:creator>
  <cp:lastModifiedBy>Florencia Benevenia</cp:lastModifiedBy>
  <dcterms:created xsi:type="dcterms:W3CDTF">2024-10-25T20:22:52Z</dcterms:created>
  <dcterms:modified xsi:type="dcterms:W3CDTF">2025-08-24T15:47:04Z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28ef38c-4357-49c8-b2ae-c9cdaf411188_Enabled">
    <vt:lpwstr>true</vt:lpwstr>
  </property>
  <property fmtid="{D5CDD505-2E9C-101B-9397-08002B2CF9AE}" pid="3" name="MSIP_Label_228ef38c-4357-49c8-b2ae-c9cdaf411188_SetDate">
    <vt:lpwstr>2024-10-25T21:21:58Z</vt:lpwstr>
  </property>
  <property fmtid="{D5CDD505-2E9C-101B-9397-08002B2CF9AE}" pid="4" name="MSIP_Label_228ef38c-4357-49c8-b2ae-c9cdaf411188_Method">
    <vt:lpwstr>Privileged</vt:lpwstr>
  </property>
  <property fmtid="{D5CDD505-2E9C-101B-9397-08002B2CF9AE}" pid="5" name="MSIP_Label_228ef38c-4357-49c8-b2ae-c9cdaf411188_Name">
    <vt:lpwstr>Personal</vt:lpwstr>
  </property>
  <property fmtid="{D5CDD505-2E9C-101B-9397-08002B2CF9AE}" pid="6" name="MSIP_Label_228ef38c-4357-49c8-b2ae-c9cdaf411188_SiteId">
    <vt:lpwstr>038018c3-616c-4b46-ad9b-aa9007f701b5</vt:lpwstr>
  </property>
  <property fmtid="{D5CDD505-2E9C-101B-9397-08002B2CF9AE}" pid="7" name="MSIP_Label_228ef38c-4357-49c8-b2ae-c9cdaf411188_ActionId">
    <vt:lpwstr>73ba6af1-7951-4fc1-b94a-34b012892825</vt:lpwstr>
  </property>
  <property fmtid="{D5CDD505-2E9C-101B-9397-08002B2CF9AE}" pid="8" name="MSIP_Label_228ef38c-4357-49c8-b2ae-c9cdaf411188_ContentBits">
    <vt:lpwstr>1</vt:lpwstr>
  </property>
</Properties>
</file>