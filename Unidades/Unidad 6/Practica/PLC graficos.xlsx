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mytrow\Downloads\"/>
    </mc:Choice>
  </mc:AlternateContent>
  <xr:revisionPtr revIDLastSave="0" documentId="13_ncr:1_{43AF2F79-FAED-46E8-BD20-172C72CCB618}" xr6:coauthVersionLast="47" xr6:coauthVersionMax="47" xr10:uidLastSave="{00000000-0000-0000-0000-000000000000}"/>
  <bookViews>
    <workbookView xWindow="-110" yWindow="-110" windowWidth="19420" windowHeight="10300" xr2:uid="{B334EF10-AC77-489B-99B0-1AA58148A4B8}"/>
  </bookViews>
  <sheets>
    <sheet name="6-Sep" sheetId="1" r:id="rId1"/>
    <sheet name="13-Se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2" l="1"/>
  <c r="O6" i="2"/>
  <c r="O7" i="2"/>
  <c r="O8" i="2"/>
  <c r="O9" i="2"/>
  <c r="O10" i="2"/>
  <c r="O11" i="2"/>
  <c r="O12" i="2"/>
  <c r="O13" i="2"/>
  <c r="O14" i="2"/>
  <c r="O15" i="2"/>
  <c r="O16" i="2"/>
  <c r="O4" i="2"/>
  <c r="N7" i="2"/>
  <c r="M7" i="2"/>
  <c r="L7" i="2"/>
  <c r="M5" i="2"/>
  <c r="M6" i="2"/>
  <c r="M8" i="2"/>
  <c r="M9" i="2"/>
  <c r="M10" i="2"/>
  <c r="M11" i="2"/>
  <c r="M12" i="2"/>
  <c r="M13" i="2"/>
  <c r="M14" i="2"/>
  <c r="M15" i="2"/>
  <c r="M16" i="2"/>
  <c r="M4" i="2"/>
  <c r="N5" i="2"/>
  <c r="N6" i="2"/>
  <c r="N8" i="2"/>
  <c r="N9" i="2"/>
  <c r="N10" i="2"/>
  <c r="N11" i="2"/>
  <c r="N12" i="2"/>
  <c r="N13" i="2"/>
  <c r="N14" i="2"/>
  <c r="N15" i="2"/>
  <c r="N16" i="2"/>
  <c r="N4" i="2"/>
  <c r="L5" i="2"/>
  <c r="L6" i="2"/>
  <c r="L8" i="2"/>
  <c r="L9" i="2"/>
  <c r="L10" i="2"/>
  <c r="L11" i="2"/>
  <c r="L12" i="2"/>
  <c r="L13" i="2"/>
  <c r="L14" i="2"/>
  <c r="L15" i="2"/>
  <c r="L16" i="2"/>
  <c r="L4" i="2"/>
  <c r="N6" i="1"/>
  <c r="N7" i="1"/>
  <c r="N8" i="1"/>
  <c r="N9" i="1"/>
  <c r="N10" i="1"/>
  <c r="N11" i="1"/>
  <c r="N12" i="1"/>
  <c r="N13" i="1"/>
  <c r="N14" i="1"/>
  <c r="N15" i="1"/>
  <c r="N16" i="1"/>
  <c r="N5" i="1"/>
  <c r="M6" i="1"/>
  <c r="M7" i="1"/>
  <c r="M8" i="1"/>
  <c r="M9" i="1"/>
  <c r="M10" i="1"/>
  <c r="M11" i="1"/>
  <c r="M12" i="1"/>
  <c r="M13" i="1"/>
  <c r="M14" i="1"/>
  <c r="M15" i="1"/>
  <c r="M16" i="1"/>
  <c r="M5" i="1"/>
  <c r="L6" i="1"/>
  <c r="L7" i="1"/>
  <c r="L8" i="1"/>
  <c r="L9" i="1"/>
  <c r="L10" i="1"/>
  <c r="L11" i="1"/>
  <c r="L12" i="1"/>
  <c r="L13" i="1"/>
  <c r="L14" i="1"/>
  <c r="L15" i="1"/>
  <c r="L16" i="1"/>
  <c r="L5" i="1"/>
</calcChain>
</file>

<file path=xl/sharedStrings.xml><?xml version="1.0" encoding="utf-8"?>
<sst xmlns="http://schemas.openxmlformats.org/spreadsheetml/2006/main" count="48" uniqueCount="32">
  <si>
    <t>Maquina</t>
  </si>
  <si>
    <t>Mano de Obra</t>
  </si>
  <si>
    <t>Tratamiento Termico</t>
  </si>
  <si>
    <t>disponibilidad</t>
  </si>
  <si>
    <t xml:space="preserve"> +</t>
  </si>
  <si>
    <t>≤</t>
  </si>
  <si>
    <t>A (x1)</t>
  </si>
  <si>
    <t>B (x2)</t>
  </si>
  <si>
    <r>
      <t>x</t>
    </r>
    <r>
      <rPr>
        <vertAlign val="subscript"/>
        <sz val="11"/>
        <color theme="1"/>
        <rFont val="Aptos Narrow"/>
        <family val="2"/>
        <scheme val="minor"/>
      </rPr>
      <t>2</t>
    </r>
    <r>
      <rPr>
        <sz val="11"/>
        <color theme="1"/>
        <rFont val="Aptos Narrow"/>
        <family val="2"/>
        <scheme val="minor"/>
      </rPr>
      <t xml:space="preserve"> = 40 - 0,5x</t>
    </r>
    <r>
      <rPr>
        <vertAlign val="subscript"/>
        <sz val="11"/>
        <color theme="1"/>
        <rFont val="Aptos Narrow"/>
        <family val="2"/>
        <scheme val="minor"/>
      </rPr>
      <t>1</t>
    </r>
  </si>
  <si>
    <r>
      <t>x</t>
    </r>
    <r>
      <rPr>
        <vertAlign val="subscript"/>
        <sz val="11"/>
        <color theme="1"/>
        <rFont val="Aptos Narrow"/>
        <family val="2"/>
        <scheme val="minor"/>
      </rPr>
      <t>2</t>
    </r>
    <r>
      <rPr>
        <sz val="11"/>
        <color theme="1"/>
        <rFont val="Aptos Narrow"/>
        <family val="2"/>
        <scheme val="minor"/>
      </rPr>
      <t xml:space="preserve"> = 80 - 2x</t>
    </r>
    <r>
      <rPr>
        <vertAlign val="subscript"/>
        <sz val="11"/>
        <color theme="1"/>
        <rFont val="Aptos Narrow"/>
        <family val="2"/>
        <scheme val="minor"/>
      </rPr>
      <t>1</t>
    </r>
  </si>
  <si>
    <r>
      <t>x</t>
    </r>
    <r>
      <rPr>
        <vertAlign val="subscript"/>
        <sz val="11"/>
        <color theme="1"/>
        <rFont val="Aptos Narrow"/>
        <family val="2"/>
        <scheme val="minor"/>
      </rPr>
      <t>2</t>
    </r>
    <r>
      <rPr>
        <sz val="11"/>
        <color theme="1"/>
        <rFont val="Aptos Narrow"/>
        <family val="2"/>
        <scheme val="minor"/>
      </rPr>
      <t xml:space="preserve"> = 48 - x</t>
    </r>
    <r>
      <rPr>
        <vertAlign val="subscript"/>
        <sz val="11"/>
        <color theme="1"/>
        <rFont val="Aptos Narrow"/>
        <family val="2"/>
        <scheme val="minor"/>
      </rPr>
      <t>1</t>
    </r>
  </si>
  <si>
    <t xml:space="preserve"> ––––&gt;</t>
  </si>
  <si>
    <r>
      <t>x</t>
    </r>
    <r>
      <rPr>
        <vertAlign val="subscript"/>
        <sz val="11"/>
        <rFont val="Aptos Narrow"/>
        <family val="2"/>
        <scheme val="minor"/>
      </rPr>
      <t>1</t>
    </r>
  </si>
  <si>
    <r>
      <t>x</t>
    </r>
    <r>
      <rPr>
        <vertAlign val="subscript"/>
        <sz val="11"/>
        <rFont val="Aptos Narrow"/>
        <family val="2"/>
        <scheme val="minor"/>
      </rPr>
      <t>2</t>
    </r>
    <r>
      <rPr>
        <sz val="11"/>
        <rFont val="Aptos Narrow"/>
        <family val="2"/>
        <scheme val="minor"/>
      </rPr>
      <t xml:space="preserve"> TT</t>
    </r>
  </si>
  <si>
    <r>
      <t>x</t>
    </r>
    <r>
      <rPr>
        <vertAlign val="subscript"/>
        <sz val="11"/>
        <rFont val="Aptos Narrow"/>
        <family val="2"/>
        <scheme val="minor"/>
      </rPr>
      <t>2</t>
    </r>
    <r>
      <rPr>
        <sz val="11"/>
        <rFont val="Aptos Narrow"/>
        <family val="2"/>
        <scheme val="minor"/>
      </rPr>
      <t xml:space="preserve"> Mq</t>
    </r>
  </si>
  <si>
    <r>
      <t>x</t>
    </r>
    <r>
      <rPr>
        <vertAlign val="subscript"/>
        <sz val="11"/>
        <rFont val="Aptos Narrow"/>
        <family val="2"/>
        <scheme val="minor"/>
      </rPr>
      <t>2</t>
    </r>
    <r>
      <rPr>
        <sz val="11"/>
        <rFont val="Aptos Narrow"/>
        <family val="2"/>
        <scheme val="minor"/>
      </rPr>
      <t xml:space="preserve"> MO</t>
    </r>
  </si>
  <si>
    <t>Fabricacion</t>
  </si>
  <si>
    <t>Ensamble</t>
  </si>
  <si>
    <t>x1
termos</t>
  </si>
  <si>
    <t>x2
mates</t>
  </si>
  <si>
    <r>
      <t>x</t>
    </r>
    <r>
      <rPr>
        <vertAlign val="subscript"/>
        <sz val="11"/>
        <color theme="1"/>
        <rFont val="Aptos Narrow"/>
        <family val="2"/>
        <scheme val="minor"/>
      </rPr>
      <t>2</t>
    </r>
    <r>
      <rPr>
        <sz val="11"/>
        <color theme="1"/>
        <rFont val="Aptos Narrow"/>
        <family val="2"/>
        <scheme val="minor"/>
      </rPr>
      <t xml:space="preserve"> = 20 - 2x</t>
    </r>
    <r>
      <rPr>
        <vertAlign val="subscript"/>
        <sz val="11"/>
        <color theme="1"/>
        <rFont val="Aptos Narrow"/>
        <family val="2"/>
        <scheme val="minor"/>
      </rPr>
      <t>1</t>
    </r>
  </si>
  <si>
    <r>
      <t>x</t>
    </r>
    <r>
      <rPr>
        <vertAlign val="subscript"/>
        <sz val="11"/>
        <rFont val="Aptos Narrow"/>
        <family val="2"/>
        <scheme val="minor"/>
      </rPr>
      <t xml:space="preserve">2
</t>
    </r>
    <r>
      <rPr>
        <sz val="9"/>
        <rFont val="Aptos Narrow"/>
        <family val="2"/>
        <scheme val="minor"/>
      </rPr>
      <t>Fabricacion</t>
    </r>
  </si>
  <si>
    <r>
      <t>x</t>
    </r>
    <r>
      <rPr>
        <vertAlign val="subscript"/>
        <sz val="11"/>
        <rFont val="Aptos Narrow"/>
        <family val="2"/>
        <scheme val="minor"/>
      </rPr>
      <t xml:space="preserve">2
</t>
    </r>
    <r>
      <rPr>
        <sz val="9"/>
        <rFont val="Aptos Narrow"/>
        <family val="2"/>
        <scheme val="minor"/>
      </rPr>
      <t>Ensamble</t>
    </r>
  </si>
  <si>
    <r>
      <t>z = 200x</t>
    </r>
    <r>
      <rPr>
        <vertAlign val="subscript"/>
        <sz val="11"/>
        <color theme="1"/>
        <rFont val="Aptos Narrow"/>
        <family val="2"/>
        <scheme val="minor"/>
      </rPr>
      <t>1</t>
    </r>
    <r>
      <rPr>
        <sz val="11"/>
        <color theme="1"/>
        <rFont val="Aptos Narrow"/>
        <family val="2"/>
        <scheme val="minor"/>
      </rPr>
      <t xml:space="preserve"> + 300x</t>
    </r>
    <r>
      <rPr>
        <vertAlign val="subscript"/>
        <sz val="11"/>
        <color theme="1"/>
        <rFont val="Aptos Narrow"/>
        <family val="2"/>
        <scheme val="minor"/>
      </rPr>
      <t>2</t>
    </r>
  </si>
  <si>
    <r>
      <t>x</t>
    </r>
    <r>
      <rPr>
        <vertAlign val="subscript"/>
        <sz val="11"/>
        <color theme="1"/>
        <rFont val="Aptos Narrow"/>
        <family val="2"/>
        <scheme val="minor"/>
      </rPr>
      <t>2</t>
    </r>
    <r>
      <rPr>
        <sz val="11"/>
        <color theme="1"/>
        <rFont val="Aptos Narrow"/>
        <family val="2"/>
        <scheme val="minor"/>
      </rPr>
      <t xml:space="preserve"> = -(2/3)x</t>
    </r>
    <r>
      <rPr>
        <vertAlign val="subscript"/>
        <sz val="11"/>
        <color theme="1"/>
        <rFont val="Aptos Narrow"/>
        <family val="2"/>
        <scheme val="minor"/>
      </rPr>
      <t>1</t>
    </r>
  </si>
  <si>
    <r>
      <t>x</t>
    </r>
    <r>
      <rPr>
        <vertAlign val="subscript"/>
        <sz val="11"/>
        <color theme="1"/>
        <rFont val="Aptos Narrow"/>
        <family val="2"/>
        <scheme val="minor"/>
      </rPr>
      <t>2</t>
    </r>
    <r>
      <rPr>
        <sz val="11"/>
        <color theme="1"/>
        <rFont val="Aptos Narrow"/>
        <family val="2"/>
        <scheme val="minor"/>
      </rPr>
      <t xml:space="preserve"> = 14 - (1/2)x</t>
    </r>
    <r>
      <rPr>
        <vertAlign val="subscript"/>
        <sz val="11"/>
        <color theme="1"/>
        <rFont val="Aptos Narrow"/>
        <family val="2"/>
        <scheme val="minor"/>
      </rPr>
      <t>1</t>
    </r>
  </si>
  <si>
    <t>z=0</t>
  </si>
  <si>
    <t>si z=0</t>
  </si>
  <si>
    <t>si z=4400</t>
  </si>
  <si>
    <r>
      <t>x</t>
    </r>
    <r>
      <rPr>
        <vertAlign val="subscript"/>
        <sz val="11"/>
        <color theme="1"/>
        <rFont val="Aptos Narrow"/>
        <family val="2"/>
        <scheme val="minor"/>
      </rPr>
      <t>2</t>
    </r>
    <r>
      <rPr>
        <sz val="11"/>
        <color theme="1"/>
        <rFont val="Aptos Narrow"/>
        <family val="2"/>
        <scheme val="minor"/>
      </rPr>
      <t xml:space="preserve"> = (44/3) - (2/3)x</t>
    </r>
    <r>
      <rPr>
        <vertAlign val="subscript"/>
        <sz val="11"/>
        <color theme="1"/>
        <rFont val="Aptos Narrow"/>
        <family val="2"/>
        <scheme val="minor"/>
      </rPr>
      <t>1</t>
    </r>
  </si>
  <si>
    <t>z=4400</t>
  </si>
  <si>
    <t>La empresa Stancho SA comercializa dos tipos de productos muy requeridos en el mercado, termos con una utilidad de $200.- y mates con una utilidad de $300.
Cada termo requiere de dos horas de fabricación y una hora de ensamble. El mate requiere una hora de fabricación y dos de ensamble.
Actualmente, por semana, la empresa dispone de 20hs para la fabricación de los productos y 28hs para su ensamble.
Una empresa consultora es contratada para definir un mix de producción que maximice la ganancia de la fábrica.
Elabore el informe y exponga una recomendación sobre si es conveniente agregar un proceso de picking manual para el cual, se podrían contar con 80 hs al mes sabiendo que se pickea en 10 minutos cada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</si>
</sst>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quot;hs TT&quot;"/>
    <numFmt numFmtId="165" formatCode="0\ &quot;hs Mq&quot;"/>
    <numFmt numFmtId="166" formatCode="0\ &quot;hs MO&quot;"/>
    <numFmt numFmtId="167" formatCode="0\ &quot;$/uni&quot;"/>
    <numFmt numFmtId="168" formatCode="0\ &quot;hs Fabricacion&quot;"/>
    <numFmt numFmtId="169" formatCode="0\ &quot;Ensamble&quot;"/>
  </numFmts>
  <fonts count="5" x14ac:knownFonts="1">
    <font>
      <sz val="11"/>
      <color theme="1"/>
      <name val="Aptos Narrow"/>
      <family val="2"/>
      <scheme val="minor"/>
    </font>
    <font>
      <vertAlign val="subscript"/>
      <sz val="11"/>
      <color theme="1"/>
      <name val="Aptos Narrow"/>
      <family val="2"/>
      <scheme val="minor"/>
    </font>
    <font>
      <sz val="11"/>
      <name val="Aptos Narrow"/>
      <family val="2"/>
      <scheme val="minor"/>
    </font>
    <font>
      <vertAlign val="subscript"/>
      <sz val="11"/>
      <name val="Aptos Narrow"/>
      <family val="2"/>
      <scheme val="minor"/>
    </font>
    <font>
      <sz val="9"/>
      <name val="Aptos Narrow"/>
      <family val="2"/>
      <scheme val="minor"/>
    </font>
  </fonts>
  <fills count="3">
    <fill>
      <patternFill patternType="none"/>
    </fill>
    <fill>
      <patternFill patternType="gray125"/>
    </fill>
    <fill>
      <patternFill patternType="solid">
        <fgColor rgb="FFFFF2C9"/>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0" fillId="0" borderId="0" xfId="0" applyAlignment="1">
      <alignment horizontal="left"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167" fontId="0" fillId="0" borderId="0" xfId="0" applyNumberFormat="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168" fontId="0" fillId="0" borderId="0" xfId="0" applyNumberFormat="1" applyAlignment="1">
      <alignment horizontal="center" vertical="center"/>
    </xf>
    <xf numFmtId="169" fontId="0" fillId="0" borderId="0" xfId="0" applyNumberFormat="1" applyAlignment="1">
      <alignment horizontal="center" vertical="center"/>
    </xf>
    <xf numFmtId="0" fontId="2" fillId="2" borderId="1" xfId="0" applyFont="1" applyFill="1" applyBorder="1" applyAlignment="1">
      <alignment horizontal="center" vertical="center" wrapText="1"/>
    </xf>
    <xf numFmtId="0" fontId="0" fillId="0" borderId="0" xfId="0" applyBorder="1" applyAlignment="1">
      <alignment horizontal="center" vertical="center"/>
    </xf>
    <xf numFmtId="0" fontId="0" fillId="0" borderId="2" xfId="0" applyBorder="1"/>
    <xf numFmtId="0" fontId="0" fillId="0" borderId="3" xfId="0" applyFill="1" applyBorder="1" applyAlignment="1">
      <alignment horizontal="center" vertical="center"/>
    </xf>
    <xf numFmtId="0" fontId="2" fillId="2" borderId="4" xfId="0" applyFont="1" applyFill="1" applyBorder="1" applyAlignment="1">
      <alignment horizontal="center" vertical="center" wrapText="1"/>
    </xf>
    <xf numFmtId="2" fontId="0" fillId="0" borderId="1" xfId="0" applyNumberFormat="1" applyBorder="1" applyAlignment="1">
      <alignment horizontal="center" vertical="center"/>
    </xf>
    <xf numFmtId="0" fontId="0" fillId="0" borderId="0" xfId="0" applyAlignment="1">
      <alignment horizontal="center"/>
    </xf>
    <xf numFmtId="0" fontId="0" fillId="0" borderId="0" xfId="0" applyFill="1" applyBorder="1" applyAlignment="1">
      <alignment horizontal="center" vertical="center"/>
    </xf>
    <xf numFmtId="0" fontId="0" fillId="0" borderId="0" xfId="0" applyBorder="1"/>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FF7F0E"/>
      <color rgb="FF2CA02C"/>
      <color rgb="FFD62728"/>
      <color rgb="FF1F77B4"/>
      <color rgb="FF3333FF"/>
      <color rgb="FFFF7979"/>
      <color rgb="FF339933"/>
      <color rgb="FFFFF2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TT</c:v>
          </c:tx>
          <c:spPr>
            <a:ln w="19050" cap="rnd">
              <a:solidFill>
                <a:schemeClr val="accent1"/>
              </a:solidFill>
              <a:round/>
            </a:ln>
            <a:effectLst/>
          </c:spPr>
          <c:marker>
            <c:symbol val="none"/>
          </c:marker>
          <c:xVal>
            <c:numRef>
              <c:f>'6-Sep'!$K$5:$K$16</c:f>
              <c:numCache>
                <c:formatCode>General</c:formatCode>
                <c:ptCount val="12"/>
                <c:pt idx="0">
                  <c:v>-10</c:v>
                </c:pt>
                <c:pt idx="1">
                  <c:v>0</c:v>
                </c:pt>
                <c:pt idx="2">
                  <c:v>10</c:v>
                </c:pt>
                <c:pt idx="3">
                  <c:v>20</c:v>
                </c:pt>
                <c:pt idx="4">
                  <c:v>30</c:v>
                </c:pt>
                <c:pt idx="5">
                  <c:v>40</c:v>
                </c:pt>
                <c:pt idx="6">
                  <c:v>50</c:v>
                </c:pt>
                <c:pt idx="7">
                  <c:v>60</c:v>
                </c:pt>
                <c:pt idx="8">
                  <c:v>70</c:v>
                </c:pt>
                <c:pt idx="9">
                  <c:v>80</c:v>
                </c:pt>
                <c:pt idx="10">
                  <c:v>90</c:v>
                </c:pt>
                <c:pt idx="11">
                  <c:v>100</c:v>
                </c:pt>
              </c:numCache>
            </c:numRef>
          </c:xVal>
          <c:yVal>
            <c:numRef>
              <c:f>'6-Sep'!$L$5:$L$16</c:f>
              <c:numCache>
                <c:formatCode>General</c:formatCode>
                <c:ptCount val="12"/>
                <c:pt idx="0">
                  <c:v>45</c:v>
                </c:pt>
                <c:pt idx="1">
                  <c:v>40</c:v>
                </c:pt>
                <c:pt idx="2">
                  <c:v>35</c:v>
                </c:pt>
                <c:pt idx="3">
                  <c:v>30</c:v>
                </c:pt>
                <c:pt idx="4">
                  <c:v>25</c:v>
                </c:pt>
                <c:pt idx="5">
                  <c:v>20</c:v>
                </c:pt>
                <c:pt idx="6">
                  <c:v>15</c:v>
                </c:pt>
                <c:pt idx="7">
                  <c:v>10</c:v>
                </c:pt>
                <c:pt idx="8">
                  <c:v>5</c:v>
                </c:pt>
                <c:pt idx="9">
                  <c:v>0</c:v>
                </c:pt>
                <c:pt idx="10">
                  <c:v>-5</c:v>
                </c:pt>
                <c:pt idx="11">
                  <c:v>-10</c:v>
                </c:pt>
              </c:numCache>
            </c:numRef>
          </c:yVal>
          <c:smooth val="0"/>
          <c:extLst>
            <c:ext xmlns:c16="http://schemas.microsoft.com/office/drawing/2014/chart" uri="{C3380CC4-5D6E-409C-BE32-E72D297353CC}">
              <c16:uniqueId val="{00000000-A8ED-4029-B700-34A7EB1DA094}"/>
            </c:ext>
          </c:extLst>
        </c:ser>
        <c:ser>
          <c:idx val="1"/>
          <c:order val="1"/>
          <c:tx>
            <c:v>Mq</c:v>
          </c:tx>
          <c:spPr>
            <a:ln w="19050" cap="rnd">
              <a:solidFill>
                <a:schemeClr val="accent2"/>
              </a:solidFill>
              <a:round/>
            </a:ln>
            <a:effectLst/>
          </c:spPr>
          <c:marker>
            <c:symbol val="none"/>
          </c:marker>
          <c:xVal>
            <c:numRef>
              <c:f>'6-Sep'!$K$5:$K$16</c:f>
              <c:numCache>
                <c:formatCode>General</c:formatCode>
                <c:ptCount val="12"/>
                <c:pt idx="0">
                  <c:v>-10</c:v>
                </c:pt>
                <c:pt idx="1">
                  <c:v>0</c:v>
                </c:pt>
                <c:pt idx="2">
                  <c:v>10</c:v>
                </c:pt>
                <c:pt idx="3">
                  <c:v>20</c:v>
                </c:pt>
                <c:pt idx="4">
                  <c:v>30</c:v>
                </c:pt>
                <c:pt idx="5">
                  <c:v>40</c:v>
                </c:pt>
                <c:pt idx="6">
                  <c:v>50</c:v>
                </c:pt>
                <c:pt idx="7">
                  <c:v>60</c:v>
                </c:pt>
                <c:pt idx="8">
                  <c:v>70</c:v>
                </c:pt>
                <c:pt idx="9">
                  <c:v>80</c:v>
                </c:pt>
                <c:pt idx="10">
                  <c:v>90</c:v>
                </c:pt>
                <c:pt idx="11">
                  <c:v>100</c:v>
                </c:pt>
              </c:numCache>
            </c:numRef>
          </c:xVal>
          <c:yVal>
            <c:numRef>
              <c:f>'6-Sep'!$M$5:$M$16</c:f>
              <c:numCache>
                <c:formatCode>General</c:formatCode>
                <c:ptCount val="12"/>
                <c:pt idx="0">
                  <c:v>100</c:v>
                </c:pt>
                <c:pt idx="1">
                  <c:v>80</c:v>
                </c:pt>
                <c:pt idx="2">
                  <c:v>60</c:v>
                </c:pt>
                <c:pt idx="3">
                  <c:v>40</c:v>
                </c:pt>
                <c:pt idx="4">
                  <c:v>20</c:v>
                </c:pt>
                <c:pt idx="5">
                  <c:v>0</c:v>
                </c:pt>
                <c:pt idx="6">
                  <c:v>-20</c:v>
                </c:pt>
                <c:pt idx="7">
                  <c:v>-40</c:v>
                </c:pt>
                <c:pt idx="8">
                  <c:v>-60</c:v>
                </c:pt>
                <c:pt idx="9">
                  <c:v>-80</c:v>
                </c:pt>
                <c:pt idx="10">
                  <c:v>-100</c:v>
                </c:pt>
                <c:pt idx="11">
                  <c:v>-120</c:v>
                </c:pt>
              </c:numCache>
            </c:numRef>
          </c:yVal>
          <c:smooth val="0"/>
          <c:extLst>
            <c:ext xmlns:c16="http://schemas.microsoft.com/office/drawing/2014/chart" uri="{C3380CC4-5D6E-409C-BE32-E72D297353CC}">
              <c16:uniqueId val="{00000001-A8ED-4029-B700-34A7EB1DA094}"/>
            </c:ext>
          </c:extLst>
        </c:ser>
        <c:ser>
          <c:idx val="2"/>
          <c:order val="2"/>
          <c:tx>
            <c:v>MO</c:v>
          </c:tx>
          <c:spPr>
            <a:ln w="19050" cap="rnd">
              <a:solidFill>
                <a:schemeClr val="accent3"/>
              </a:solidFill>
              <a:round/>
            </a:ln>
            <a:effectLst/>
          </c:spPr>
          <c:marker>
            <c:symbol val="none"/>
          </c:marker>
          <c:xVal>
            <c:numRef>
              <c:f>'6-Sep'!$K$5:$K$16</c:f>
              <c:numCache>
                <c:formatCode>General</c:formatCode>
                <c:ptCount val="12"/>
                <c:pt idx="0">
                  <c:v>-10</c:v>
                </c:pt>
                <c:pt idx="1">
                  <c:v>0</c:v>
                </c:pt>
                <c:pt idx="2">
                  <c:v>10</c:v>
                </c:pt>
                <c:pt idx="3">
                  <c:v>20</c:v>
                </c:pt>
                <c:pt idx="4">
                  <c:v>30</c:v>
                </c:pt>
                <c:pt idx="5">
                  <c:v>40</c:v>
                </c:pt>
                <c:pt idx="6">
                  <c:v>50</c:v>
                </c:pt>
                <c:pt idx="7">
                  <c:v>60</c:v>
                </c:pt>
                <c:pt idx="8">
                  <c:v>70</c:v>
                </c:pt>
                <c:pt idx="9">
                  <c:v>80</c:v>
                </c:pt>
                <c:pt idx="10">
                  <c:v>90</c:v>
                </c:pt>
                <c:pt idx="11">
                  <c:v>100</c:v>
                </c:pt>
              </c:numCache>
            </c:numRef>
          </c:xVal>
          <c:yVal>
            <c:numRef>
              <c:f>'6-Sep'!$N$5:$N$16</c:f>
              <c:numCache>
                <c:formatCode>General</c:formatCode>
                <c:ptCount val="12"/>
                <c:pt idx="0">
                  <c:v>58</c:v>
                </c:pt>
                <c:pt idx="1">
                  <c:v>48</c:v>
                </c:pt>
                <c:pt idx="2">
                  <c:v>38</c:v>
                </c:pt>
                <c:pt idx="3">
                  <c:v>28</c:v>
                </c:pt>
                <c:pt idx="4">
                  <c:v>18</c:v>
                </c:pt>
                <c:pt idx="5">
                  <c:v>8</c:v>
                </c:pt>
                <c:pt idx="6">
                  <c:v>-2</c:v>
                </c:pt>
                <c:pt idx="7">
                  <c:v>-12</c:v>
                </c:pt>
                <c:pt idx="8">
                  <c:v>-22</c:v>
                </c:pt>
                <c:pt idx="9">
                  <c:v>-32</c:v>
                </c:pt>
                <c:pt idx="10">
                  <c:v>-42</c:v>
                </c:pt>
                <c:pt idx="11">
                  <c:v>-52</c:v>
                </c:pt>
              </c:numCache>
            </c:numRef>
          </c:yVal>
          <c:smooth val="0"/>
          <c:extLst>
            <c:ext xmlns:c16="http://schemas.microsoft.com/office/drawing/2014/chart" uri="{C3380CC4-5D6E-409C-BE32-E72D297353CC}">
              <c16:uniqueId val="{00000002-A8ED-4029-B700-34A7EB1DA094}"/>
            </c:ext>
          </c:extLst>
        </c:ser>
        <c:dLbls>
          <c:showLegendKey val="0"/>
          <c:showVal val="0"/>
          <c:showCatName val="0"/>
          <c:showSerName val="0"/>
          <c:showPercent val="0"/>
          <c:showBubbleSize val="0"/>
        </c:dLbls>
        <c:axId val="670436984"/>
        <c:axId val="670437704"/>
      </c:scatterChart>
      <c:valAx>
        <c:axId val="670436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0437704"/>
        <c:crosses val="autoZero"/>
        <c:crossBetween val="midCat"/>
      </c:valAx>
      <c:valAx>
        <c:axId val="670437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0436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Fabricacion</c:v>
          </c:tx>
          <c:spPr>
            <a:ln w="19050" cap="rnd">
              <a:solidFill>
                <a:srgbClr val="1F77B4"/>
              </a:solidFill>
              <a:round/>
            </a:ln>
            <a:effectLst/>
          </c:spPr>
          <c:marker>
            <c:symbol val="none"/>
          </c:marker>
          <c:xVal>
            <c:numRef>
              <c:f>'13-Sep'!$K$4:$K$16</c:f>
              <c:numCache>
                <c:formatCode>General</c:formatCode>
                <c:ptCount val="13"/>
                <c:pt idx="0">
                  <c:v>-2.5</c:v>
                </c:pt>
                <c:pt idx="1">
                  <c:v>0</c:v>
                </c:pt>
                <c:pt idx="2">
                  <c:v>2.5</c:v>
                </c:pt>
                <c:pt idx="3">
                  <c:v>4</c:v>
                </c:pt>
                <c:pt idx="4">
                  <c:v>5</c:v>
                </c:pt>
                <c:pt idx="5">
                  <c:v>7.5</c:v>
                </c:pt>
                <c:pt idx="6">
                  <c:v>10</c:v>
                </c:pt>
                <c:pt idx="7">
                  <c:v>12.5</c:v>
                </c:pt>
                <c:pt idx="8">
                  <c:v>15</c:v>
                </c:pt>
                <c:pt idx="9">
                  <c:v>17.5</c:v>
                </c:pt>
                <c:pt idx="10">
                  <c:v>20</c:v>
                </c:pt>
                <c:pt idx="11">
                  <c:v>22.5</c:v>
                </c:pt>
                <c:pt idx="12">
                  <c:v>25</c:v>
                </c:pt>
              </c:numCache>
            </c:numRef>
          </c:xVal>
          <c:yVal>
            <c:numRef>
              <c:f>'13-Sep'!$L$4:$L$16</c:f>
              <c:numCache>
                <c:formatCode>General</c:formatCode>
                <c:ptCount val="13"/>
                <c:pt idx="0">
                  <c:v>25</c:v>
                </c:pt>
                <c:pt idx="1">
                  <c:v>20</c:v>
                </c:pt>
                <c:pt idx="2">
                  <c:v>15</c:v>
                </c:pt>
                <c:pt idx="3">
                  <c:v>12</c:v>
                </c:pt>
                <c:pt idx="4">
                  <c:v>10</c:v>
                </c:pt>
                <c:pt idx="5">
                  <c:v>5</c:v>
                </c:pt>
                <c:pt idx="6">
                  <c:v>0</c:v>
                </c:pt>
                <c:pt idx="7">
                  <c:v>-5</c:v>
                </c:pt>
                <c:pt idx="8">
                  <c:v>-10</c:v>
                </c:pt>
                <c:pt idx="9">
                  <c:v>-15</c:v>
                </c:pt>
                <c:pt idx="10">
                  <c:v>-20</c:v>
                </c:pt>
                <c:pt idx="11">
                  <c:v>-25</c:v>
                </c:pt>
                <c:pt idx="12">
                  <c:v>-30</c:v>
                </c:pt>
              </c:numCache>
            </c:numRef>
          </c:yVal>
          <c:smooth val="0"/>
          <c:extLst>
            <c:ext xmlns:c16="http://schemas.microsoft.com/office/drawing/2014/chart" uri="{C3380CC4-5D6E-409C-BE32-E72D297353CC}">
              <c16:uniqueId val="{00000000-1CDF-409D-834F-18EE8A95441E}"/>
            </c:ext>
          </c:extLst>
        </c:ser>
        <c:ser>
          <c:idx val="1"/>
          <c:order val="1"/>
          <c:tx>
            <c:v>Ensamble</c:v>
          </c:tx>
          <c:spPr>
            <a:ln w="19050" cap="rnd">
              <a:solidFill>
                <a:srgbClr val="2CA02C"/>
              </a:solidFill>
              <a:round/>
            </a:ln>
            <a:effectLst/>
          </c:spPr>
          <c:marker>
            <c:symbol val="none"/>
          </c:marker>
          <c:xVal>
            <c:numRef>
              <c:f>'13-Sep'!$K$4:$K$16</c:f>
              <c:numCache>
                <c:formatCode>General</c:formatCode>
                <c:ptCount val="13"/>
                <c:pt idx="0">
                  <c:v>-2.5</c:v>
                </c:pt>
                <c:pt idx="1">
                  <c:v>0</c:v>
                </c:pt>
                <c:pt idx="2">
                  <c:v>2.5</c:v>
                </c:pt>
                <c:pt idx="3">
                  <c:v>4</c:v>
                </c:pt>
                <c:pt idx="4">
                  <c:v>5</c:v>
                </c:pt>
                <c:pt idx="5">
                  <c:v>7.5</c:v>
                </c:pt>
                <c:pt idx="6">
                  <c:v>10</c:v>
                </c:pt>
                <c:pt idx="7">
                  <c:v>12.5</c:v>
                </c:pt>
                <c:pt idx="8">
                  <c:v>15</c:v>
                </c:pt>
                <c:pt idx="9">
                  <c:v>17.5</c:v>
                </c:pt>
                <c:pt idx="10">
                  <c:v>20</c:v>
                </c:pt>
                <c:pt idx="11">
                  <c:v>22.5</c:v>
                </c:pt>
                <c:pt idx="12">
                  <c:v>25</c:v>
                </c:pt>
              </c:numCache>
            </c:numRef>
          </c:xVal>
          <c:yVal>
            <c:numRef>
              <c:f>'13-Sep'!$M$4:$M$16</c:f>
              <c:numCache>
                <c:formatCode>General</c:formatCode>
                <c:ptCount val="13"/>
                <c:pt idx="0">
                  <c:v>15.25</c:v>
                </c:pt>
                <c:pt idx="1">
                  <c:v>14</c:v>
                </c:pt>
                <c:pt idx="2">
                  <c:v>12.75</c:v>
                </c:pt>
                <c:pt idx="3">
                  <c:v>12</c:v>
                </c:pt>
                <c:pt idx="4">
                  <c:v>11.5</c:v>
                </c:pt>
                <c:pt idx="5">
                  <c:v>10.25</c:v>
                </c:pt>
                <c:pt idx="6">
                  <c:v>9</c:v>
                </c:pt>
                <c:pt idx="7">
                  <c:v>7.75</c:v>
                </c:pt>
                <c:pt idx="8">
                  <c:v>6.5</c:v>
                </c:pt>
                <c:pt idx="9">
                  <c:v>5.25</c:v>
                </c:pt>
                <c:pt idx="10">
                  <c:v>4</c:v>
                </c:pt>
                <c:pt idx="11">
                  <c:v>2.75</c:v>
                </c:pt>
                <c:pt idx="12">
                  <c:v>1.5</c:v>
                </c:pt>
              </c:numCache>
            </c:numRef>
          </c:yVal>
          <c:smooth val="0"/>
          <c:extLst>
            <c:ext xmlns:c16="http://schemas.microsoft.com/office/drawing/2014/chart" uri="{C3380CC4-5D6E-409C-BE32-E72D297353CC}">
              <c16:uniqueId val="{00000001-1CDF-409D-834F-18EE8A95441E}"/>
            </c:ext>
          </c:extLst>
        </c:ser>
        <c:ser>
          <c:idx val="2"/>
          <c:order val="2"/>
          <c:tx>
            <c:v>Optimo Z=0</c:v>
          </c:tx>
          <c:spPr>
            <a:ln w="19050" cap="rnd">
              <a:solidFill>
                <a:srgbClr val="FF7F0E"/>
              </a:solidFill>
              <a:round/>
            </a:ln>
            <a:effectLst/>
          </c:spPr>
          <c:marker>
            <c:symbol val="none"/>
          </c:marker>
          <c:xVal>
            <c:numRef>
              <c:f>'13-Sep'!$K$4:$K$16</c:f>
              <c:numCache>
                <c:formatCode>General</c:formatCode>
                <c:ptCount val="13"/>
                <c:pt idx="0">
                  <c:v>-2.5</c:v>
                </c:pt>
                <c:pt idx="1">
                  <c:v>0</c:v>
                </c:pt>
                <c:pt idx="2">
                  <c:v>2.5</c:v>
                </c:pt>
                <c:pt idx="3">
                  <c:v>4</c:v>
                </c:pt>
                <c:pt idx="4">
                  <c:v>5</c:v>
                </c:pt>
                <c:pt idx="5">
                  <c:v>7.5</c:v>
                </c:pt>
                <c:pt idx="6">
                  <c:v>10</c:v>
                </c:pt>
                <c:pt idx="7">
                  <c:v>12.5</c:v>
                </c:pt>
                <c:pt idx="8">
                  <c:v>15</c:v>
                </c:pt>
                <c:pt idx="9">
                  <c:v>17.5</c:v>
                </c:pt>
                <c:pt idx="10">
                  <c:v>20</c:v>
                </c:pt>
                <c:pt idx="11">
                  <c:v>22.5</c:v>
                </c:pt>
                <c:pt idx="12">
                  <c:v>25</c:v>
                </c:pt>
              </c:numCache>
            </c:numRef>
          </c:xVal>
          <c:yVal>
            <c:numRef>
              <c:f>'13-Sep'!$N$4:$N$16</c:f>
              <c:numCache>
                <c:formatCode>0.00</c:formatCode>
                <c:ptCount val="13"/>
                <c:pt idx="0">
                  <c:v>1.6666666666666665</c:v>
                </c:pt>
                <c:pt idx="1">
                  <c:v>0</c:v>
                </c:pt>
                <c:pt idx="2">
                  <c:v>-1.6666666666666665</c:v>
                </c:pt>
                <c:pt idx="3">
                  <c:v>-2.6666666666666665</c:v>
                </c:pt>
                <c:pt idx="4">
                  <c:v>-3.333333333333333</c:v>
                </c:pt>
                <c:pt idx="5">
                  <c:v>-5</c:v>
                </c:pt>
                <c:pt idx="6">
                  <c:v>-6.6666666666666661</c:v>
                </c:pt>
                <c:pt idx="7">
                  <c:v>-8.3333333333333321</c:v>
                </c:pt>
                <c:pt idx="8">
                  <c:v>-10</c:v>
                </c:pt>
                <c:pt idx="9">
                  <c:v>-11.666666666666666</c:v>
                </c:pt>
                <c:pt idx="10">
                  <c:v>-13.333333333333332</c:v>
                </c:pt>
                <c:pt idx="11">
                  <c:v>-15</c:v>
                </c:pt>
                <c:pt idx="12">
                  <c:v>-16.666666666666664</c:v>
                </c:pt>
              </c:numCache>
            </c:numRef>
          </c:yVal>
          <c:smooth val="0"/>
          <c:extLst>
            <c:ext xmlns:c16="http://schemas.microsoft.com/office/drawing/2014/chart" uri="{C3380CC4-5D6E-409C-BE32-E72D297353CC}">
              <c16:uniqueId val="{00000003-1CDF-409D-834F-18EE8A95441E}"/>
            </c:ext>
          </c:extLst>
        </c:ser>
        <c:ser>
          <c:idx val="3"/>
          <c:order val="3"/>
          <c:tx>
            <c:v>Optimo Z=4400</c:v>
          </c:tx>
          <c:spPr>
            <a:ln w="19050" cap="rnd">
              <a:solidFill>
                <a:srgbClr val="D62728"/>
              </a:solidFill>
              <a:round/>
            </a:ln>
            <a:effectLst/>
          </c:spPr>
          <c:marker>
            <c:symbol val="none"/>
          </c:marker>
          <c:xVal>
            <c:numRef>
              <c:f>'13-Sep'!$K$4:$K$16</c:f>
              <c:numCache>
                <c:formatCode>General</c:formatCode>
                <c:ptCount val="13"/>
                <c:pt idx="0">
                  <c:v>-2.5</c:v>
                </c:pt>
                <c:pt idx="1">
                  <c:v>0</c:v>
                </c:pt>
                <c:pt idx="2">
                  <c:v>2.5</c:v>
                </c:pt>
                <c:pt idx="3">
                  <c:v>4</c:v>
                </c:pt>
                <c:pt idx="4">
                  <c:v>5</c:v>
                </c:pt>
                <c:pt idx="5">
                  <c:v>7.5</c:v>
                </c:pt>
                <c:pt idx="6">
                  <c:v>10</c:v>
                </c:pt>
                <c:pt idx="7">
                  <c:v>12.5</c:v>
                </c:pt>
                <c:pt idx="8">
                  <c:v>15</c:v>
                </c:pt>
                <c:pt idx="9">
                  <c:v>17.5</c:v>
                </c:pt>
                <c:pt idx="10">
                  <c:v>20</c:v>
                </c:pt>
                <c:pt idx="11">
                  <c:v>22.5</c:v>
                </c:pt>
                <c:pt idx="12">
                  <c:v>25</c:v>
                </c:pt>
              </c:numCache>
            </c:numRef>
          </c:xVal>
          <c:yVal>
            <c:numRef>
              <c:f>'13-Sep'!$O$4:$O$16</c:f>
              <c:numCache>
                <c:formatCode>0.00</c:formatCode>
                <c:ptCount val="13"/>
                <c:pt idx="0">
                  <c:v>16.333333333333332</c:v>
                </c:pt>
                <c:pt idx="1">
                  <c:v>14.666666666666666</c:v>
                </c:pt>
                <c:pt idx="2">
                  <c:v>13</c:v>
                </c:pt>
                <c:pt idx="3">
                  <c:v>12</c:v>
                </c:pt>
                <c:pt idx="4">
                  <c:v>11.333333333333332</c:v>
                </c:pt>
                <c:pt idx="5">
                  <c:v>9.6666666666666661</c:v>
                </c:pt>
                <c:pt idx="6">
                  <c:v>8</c:v>
                </c:pt>
                <c:pt idx="7">
                  <c:v>6.3333333333333339</c:v>
                </c:pt>
                <c:pt idx="8">
                  <c:v>4.6666666666666661</c:v>
                </c:pt>
                <c:pt idx="9">
                  <c:v>3</c:v>
                </c:pt>
                <c:pt idx="10">
                  <c:v>1.3333333333333339</c:v>
                </c:pt>
                <c:pt idx="11">
                  <c:v>-0.33333333333333393</c:v>
                </c:pt>
                <c:pt idx="12">
                  <c:v>-1.9999999999999982</c:v>
                </c:pt>
              </c:numCache>
            </c:numRef>
          </c:yVal>
          <c:smooth val="0"/>
          <c:extLst>
            <c:ext xmlns:c16="http://schemas.microsoft.com/office/drawing/2014/chart" uri="{C3380CC4-5D6E-409C-BE32-E72D297353CC}">
              <c16:uniqueId val="{00000004-1CDF-409D-834F-18EE8A95441E}"/>
            </c:ext>
          </c:extLst>
        </c:ser>
        <c:dLbls>
          <c:showLegendKey val="0"/>
          <c:showVal val="0"/>
          <c:showCatName val="0"/>
          <c:showSerName val="0"/>
          <c:showPercent val="0"/>
          <c:showBubbleSize val="0"/>
        </c:dLbls>
        <c:axId val="670436984"/>
        <c:axId val="670437704"/>
      </c:scatterChart>
      <c:valAx>
        <c:axId val="670436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Termos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0437704"/>
        <c:crosses val="autoZero"/>
        <c:crossBetween val="midCat"/>
      </c:valAx>
      <c:valAx>
        <c:axId val="670437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AR"/>
                  <a:t>Mates</a:t>
                </a:r>
              </a:p>
            </c:rich>
          </c:tx>
          <c:layout>
            <c:manualLayout>
              <c:xMode val="edge"/>
              <c:yMode val="edge"/>
              <c:x val="1.3532910012541918E-2"/>
              <c:y val="0.404552933422476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70436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582470</xdr:colOff>
      <xdr:row>7</xdr:row>
      <xdr:rowOff>115454</xdr:rowOff>
    </xdr:from>
    <xdr:to>
      <xdr:col>8</xdr:col>
      <xdr:colOff>987138</xdr:colOff>
      <xdr:row>23</xdr:row>
      <xdr:rowOff>46759</xdr:rowOff>
    </xdr:to>
    <xdr:graphicFrame macro="">
      <xdr:nvGraphicFramePr>
        <xdr:cNvPr id="3" name="Chart 2">
          <a:extLst>
            <a:ext uri="{FF2B5EF4-FFF2-40B4-BE49-F238E27FC236}">
              <a16:creationId xmlns:a16="http://schemas.microsoft.com/office/drawing/2014/main" id="{4DCE809B-4AF4-78AC-AF11-F5C5FA0E3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184544</xdr:colOff>
      <xdr:row>9</xdr:row>
      <xdr:rowOff>87937</xdr:rowOff>
    </xdr:from>
    <xdr:to>
      <xdr:col>9</xdr:col>
      <xdr:colOff>91090</xdr:colOff>
      <xdr:row>25</xdr:row>
      <xdr:rowOff>82742</xdr:rowOff>
    </xdr:to>
    <xdr:graphicFrame macro="">
      <xdr:nvGraphicFramePr>
        <xdr:cNvPr id="2" name="Chart 1">
          <a:extLst>
            <a:ext uri="{FF2B5EF4-FFF2-40B4-BE49-F238E27FC236}">
              <a16:creationId xmlns:a16="http://schemas.microsoft.com/office/drawing/2014/main" id="{9FC1FBEB-9878-4DBB-99DC-58CE6860B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9D3F-0DDA-4F19-9CD9-A776A956BEBD}">
  <dimension ref="A1:N16"/>
  <sheetViews>
    <sheetView tabSelected="1" zoomScaleNormal="100" workbookViewId="0">
      <selection sqref="A1:N1"/>
    </sheetView>
  </sheetViews>
  <sheetFormatPr defaultRowHeight="14.5" x14ac:dyDescent="0.35"/>
  <cols>
    <col min="2" max="2" width="17.7265625" bestFit="1" customWidth="1"/>
    <col min="4" max="4" width="2.6328125" customWidth="1"/>
    <col min="6" max="6" width="2.6328125" customWidth="1"/>
    <col min="7" max="7" width="16.90625" customWidth="1"/>
    <col min="9" max="9" width="15.81640625" bestFit="1" customWidth="1"/>
  </cols>
  <sheetData>
    <row r="1" spans="1:14" ht="44" customHeight="1" x14ac:dyDescent="0.35">
      <c r="A1" s="21"/>
      <c r="B1" s="21"/>
      <c r="C1" s="21"/>
      <c r="D1" s="21"/>
      <c r="E1" s="21"/>
      <c r="F1" s="21"/>
      <c r="G1" s="21"/>
      <c r="H1" s="21"/>
      <c r="I1" s="21"/>
      <c r="J1" s="21"/>
      <c r="K1" s="21"/>
      <c r="L1" s="21"/>
      <c r="M1" s="21"/>
      <c r="N1" s="21"/>
    </row>
    <row r="3" spans="1:14" ht="17" customHeight="1" x14ac:dyDescent="0.35">
      <c r="C3" s="1" t="s">
        <v>6</v>
      </c>
      <c r="E3" s="1" t="s">
        <v>7</v>
      </c>
      <c r="G3" s="1" t="s">
        <v>3</v>
      </c>
      <c r="L3" s="1"/>
      <c r="M3" s="1"/>
      <c r="N3" s="1"/>
    </row>
    <row r="4" spans="1:14" ht="17" customHeight="1" x14ac:dyDescent="0.45">
      <c r="B4" s="2" t="s">
        <v>2</v>
      </c>
      <c r="C4" s="1">
        <v>9</v>
      </c>
      <c r="D4" s="1" t="s">
        <v>4</v>
      </c>
      <c r="E4" s="1">
        <v>18</v>
      </c>
      <c r="F4" s="1" t="s">
        <v>5</v>
      </c>
      <c r="G4" s="3">
        <v>720</v>
      </c>
      <c r="H4" s="1" t="s">
        <v>11</v>
      </c>
      <c r="I4" t="s">
        <v>8</v>
      </c>
      <c r="K4" s="7" t="s">
        <v>12</v>
      </c>
      <c r="L4" s="7" t="s">
        <v>13</v>
      </c>
      <c r="M4" s="7" t="s">
        <v>14</v>
      </c>
      <c r="N4" s="7" t="s">
        <v>15</v>
      </c>
    </row>
    <row r="5" spans="1:14" ht="17" customHeight="1" x14ac:dyDescent="0.45">
      <c r="B5" s="2" t="s">
        <v>0</v>
      </c>
      <c r="C5" s="1">
        <v>16</v>
      </c>
      <c r="D5" s="1" t="s">
        <v>4</v>
      </c>
      <c r="E5" s="1">
        <v>8</v>
      </c>
      <c r="F5" s="1" t="s">
        <v>5</v>
      </c>
      <c r="G5" s="4">
        <v>640</v>
      </c>
      <c r="H5" s="1" t="s">
        <v>11</v>
      </c>
      <c r="I5" t="s">
        <v>9</v>
      </c>
      <c r="K5" s="8">
        <v>-10</v>
      </c>
      <c r="L5" s="8">
        <f>40-0.5*K5</f>
        <v>45</v>
      </c>
      <c r="M5" s="8">
        <f>80-2*K5</f>
        <v>100</v>
      </c>
      <c r="N5" s="8">
        <f>48-K5</f>
        <v>58</v>
      </c>
    </row>
    <row r="6" spans="1:14" ht="17" customHeight="1" x14ac:dyDescent="0.45">
      <c r="B6" s="2" t="s">
        <v>1</v>
      </c>
      <c r="C6" s="1">
        <v>10</v>
      </c>
      <c r="D6" s="1" t="s">
        <v>4</v>
      </c>
      <c r="E6" s="1">
        <v>10</v>
      </c>
      <c r="F6" s="1" t="s">
        <v>5</v>
      </c>
      <c r="G6" s="5">
        <v>480</v>
      </c>
      <c r="H6" s="1" t="s">
        <v>11</v>
      </c>
      <c r="I6" t="s">
        <v>10</v>
      </c>
      <c r="K6" s="8">
        <v>0</v>
      </c>
      <c r="L6" s="8">
        <f t="shared" ref="L6:L16" si="0">40-0.5*K6</f>
        <v>40</v>
      </c>
      <c r="M6" s="8">
        <f t="shared" ref="M6:M16" si="1">80-2*K6</f>
        <v>80</v>
      </c>
      <c r="N6" s="8">
        <f t="shared" ref="N6:N16" si="2">48-K6</f>
        <v>48</v>
      </c>
    </row>
    <row r="7" spans="1:14" ht="17" customHeight="1" x14ac:dyDescent="0.35">
      <c r="C7" s="6">
        <v>400</v>
      </c>
      <c r="E7" s="6">
        <v>300</v>
      </c>
      <c r="K7" s="8">
        <v>10</v>
      </c>
      <c r="L7" s="8">
        <f t="shared" si="0"/>
        <v>35</v>
      </c>
      <c r="M7" s="8">
        <f t="shared" si="1"/>
        <v>60</v>
      </c>
      <c r="N7" s="8">
        <f t="shared" si="2"/>
        <v>38</v>
      </c>
    </row>
    <row r="8" spans="1:14" ht="17" customHeight="1" x14ac:dyDescent="0.35">
      <c r="K8" s="8">
        <v>20</v>
      </c>
      <c r="L8" s="8">
        <f t="shared" si="0"/>
        <v>30</v>
      </c>
      <c r="M8" s="8">
        <f t="shared" si="1"/>
        <v>40</v>
      </c>
      <c r="N8" s="8">
        <f t="shared" si="2"/>
        <v>28</v>
      </c>
    </row>
    <row r="9" spans="1:14" ht="17" customHeight="1" x14ac:dyDescent="0.35">
      <c r="K9" s="8">
        <v>30</v>
      </c>
      <c r="L9" s="8">
        <f t="shared" si="0"/>
        <v>25</v>
      </c>
      <c r="M9" s="8">
        <f t="shared" si="1"/>
        <v>20</v>
      </c>
      <c r="N9" s="8">
        <f t="shared" si="2"/>
        <v>18</v>
      </c>
    </row>
    <row r="10" spans="1:14" ht="17" customHeight="1" x14ac:dyDescent="0.35">
      <c r="K10" s="8">
        <v>40</v>
      </c>
      <c r="L10" s="8">
        <f t="shared" si="0"/>
        <v>20</v>
      </c>
      <c r="M10" s="8">
        <f t="shared" si="1"/>
        <v>0</v>
      </c>
      <c r="N10" s="8">
        <f t="shared" si="2"/>
        <v>8</v>
      </c>
    </row>
    <row r="11" spans="1:14" ht="17" customHeight="1" x14ac:dyDescent="0.35">
      <c r="K11" s="8">
        <v>50</v>
      </c>
      <c r="L11" s="8">
        <f t="shared" si="0"/>
        <v>15</v>
      </c>
      <c r="M11" s="8">
        <f t="shared" si="1"/>
        <v>-20</v>
      </c>
      <c r="N11" s="8">
        <f t="shared" si="2"/>
        <v>-2</v>
      </c>
    </row>
    <row r="12" spans="1:14" ht="17" customHeight="1" x14ac:dyDescent="0.35">
      <c r="K12" s="8">
        <v>60</v>
      </c>
      <c r="L12" s="8">
        <f t="shared" si="0"/>
        <v>10</v>
      </c>
      <c r="M12" s="8">
        <f t="shared" si="1"/>
        <v>-40</v>
      </c>
      <c r="N12" s="8">
        <f t="shared" si="2"/>
        <v>-12</v>
      </c>
    </row>
    <row r="13" spans="1:14" ht="17" customHeight="1" x14ac:dyDescent="0.35">
      <c r="K13" s="8">
        <v>70</v>
      </c>
      <c r="L13" s="8">
        <f t="shared" si="0"/>
        <v>5</v>
      </c>
      <c r="M13" s="8">
        <f t="shared" si="1"/>
        <v>-60</v>
      </c>
      <c r="N13" s="8">
        <f t="shared" si="2"/>
        <v>-22</v>
      </c>
    </row>
    <row r="14" spans="1:14" ht="17" customHeight="1" x14ac:dyDescent="0.35">
      <c r="K14" s="8">
        <v>80</v>
      </c>
      <c r="L14" s="8">
        <f t="shared" si="0"/>
        <v>0</v>
      </c>
      <c r="M14" s="8">
        <f t="shared" si="1"/>
        <v>-80</v>
      </c>
      <c r="N14" s="8">
        <f t="shared" si="2"/>
        <v>-32</v>
      </c>
    </row>
    <row r="15" spans="1:14" ht="17" customHeight="1" x14ac:dyDescent="0.35">
      <c r="K15" s="8">
        <v>90</v>
      </c>
      <c r="L15" s="8">
        <f t="shared" si="0"/>
        <v>-5</v>
      </c>
      <c r="M15" s="8">
        <f t="shared" si="1"/>
        <v>-100</v>
      </c>
      <c r="N15" s="8">
        <f t="shared" si="2"/>
        <v>-42</v>
      </c>
    </row>
    <row r="16" spans="1:14" ht="17" customHeight="1" x14ac:dyDescent="0.35">
      <c r="K16" s="8">
        <v>100</v>
      </c>
      <c r="L16" s="8">
        <f t="shared" si="0"/>
        <v>-10</v>
      </c>
      <c r="M16" s="8">
        <f t="shared" si="1"/>
        <v>-120</v>
      </c>
      <c r="N16" s="8">
        <f t="shared" si="2"/>
        <v>-52</v>
      </c>
    </row>
  </sheetData>
  <mergeCells count="1">
    <mergeCell ref="A1:N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0EAE-6201-44FE-9D91-C21DD9E26610}">
  <dimension ref="A1:O23"/>
  <sheetViews>
    <sheetView zoomScaleNormal="100" workbookViewId="0">
      <selection sqref="A1:O1"/>
    </sheetView>
  </sheetViews>
  <sheetFormatPr defaultRowHeight="14.5" x14ac:dyDescent="0.35"/>
  <cols>
    <col min="2" max="2" width="17.7265625" bestFit="1" customWidth="1"/>
    <col min="4" max="4" width="2.6328125" customWidth="1"/>
    <col min="6" max="6" width="2.6328125" customWidth="1"/>
    <col min="7" max="7" width="16.90625" customWidth="1"/>
    <col min="9" max="9" width="15.81640625" bestFit="1" customWidth="1"/>
    <col min="14" max="14" width="9.36328125" bestFit="1" customWidth="1"/>
  </cols>
  <sheetData>
    <row r="1" spans="1:15" ht="109.5" customHeight="1" x14ac:dyDescent="0.35">
      <c r="A1" s="22" t="s">
        <v>31</v>
      </c>
      <c r="B1" s="23"/>
      <c r="C1" s="23"/>
      <c r="D1" s="23"/>
      <c r="E1" s="23"/>
      <c r="F1" s="23"/>
      <c r="G1" s="23"/>
      <c r="H1" s="23"/>
      <c r="I1" s="23"/>
      <c r="J1" s="23"/>
      <c r="K1" s="23"/>
      <c r="L1" s="23"/>
      <c r="M1" s="23"/>
      <c r="N1" s="23"/>
      <c r="O1" s="23"/>
    </row>
    <row r="3" spans="1:15" ht="35" customHeight="1" x14ac:dyDescent="0.35">
      <c r="C3" s="9" t="s">
        <v>18</v>
      </c>
      <c r="E3" s="9" t="s">
        <v>19</v>
      </c>
      <c r="G3" s="1" t="s">
        <v>3</v>
      </c>
      <c r="K3" s="7" t="s">
        <v>12</v>
      </c>
      <c r="L3" s="12" t="s">
        <v>21</v>
      </c>
      <c r="M3" s="12" t="s">
        <v>22</v>
      </c>
      <c r="N3" s="16" t="s">
        <v>26</v>
      </c>
      <c r="O3" s="16" t="s">
        <v>30</v>
      </c>
    </row>
    <row r="4" spans="1:15" ht="17" customHeight="1" x14ac:dyDescent="0.45">
      <c r="B4" s="1" t="s">
        <v>16</v>
      </c>
      <c r="C4" s="1">
        <v>2</v>
      </c>
      <c r="D4" s="1" t="s">
        <v>4</v>
      </c>
      <c r="E4" s="1">
        <v>1</v>
      </c>
      <c r="F4" s="1" t="s">
        <v>5</v>
      </c>
      <c r="G4" s="10">
        <v>20</v>
      </c>
      <c r="H4" s="1" t="s">
        <v>11</v>
      </c>
      <c r="I4" t="s">
        <v>20</v>
      </c>
      <c r="K4" s="8">
        <v>-2.5</v>
      </c>
      <c r="L4" s="8">
        <f>20-2*K4</f>
        <v>25</v>
      </c>
      <c r="M4" s="8">
        <f>14-(1/2)*K4</f>
        <v>15.25</v>
      </c>
      <c r="N4" s="17">
        <f>-(2/3)*K4</f>
        <v>1.6666666666666665</v>
      </c>
      <c r="O4" s="17">
        <f>(4400/300)-(2/3)*K4</f>
        <v>16.333333333333332</v>
      </c>
    </row>
    <row r="5" spans="1:15" ht="17" customHeight="1" x14ac:dyDescent="0.45">
      <c r="B5" s="1" t="s">
        <v>17</v>
      </c>
      <c r="C5" s="1">
        <v>1</v>
      </c>
      <c r="D5" s="1" t="s">
        <v>4</v>
      </c>
      <c r="E5" s="1">
        <v>2</v>
      </c>
      <c r="F5" s="1" t="s">
        <v>5</v>
      </c>
      <c r="G5" s="11">
        <v>28</v>
      </c>
      <c r="H5" s="1" t="s">
        <v>11</v>
      </c>
      <c r="I5" t="s">
        <v>25</v>
      </c>
      <c r="K5" s="8">
        <v>0</v>
      </c>
      <c r="L5" s="8">
        <f t="shared" ref="L5:L16" si="0">20-2*K5</f>
        <v>20</v>
      </c>
      <c r="M5" s="8">
        <f t="shared" ref="M5:M15" si="1">14-(1/2)*K5</f>
        <v>14</v>
      </c>
      <c r="N5" s="17">
        <f t="shared" ref="N5:N15" si="2">-(2/3)*K5</f>
        <v>0</v>
      </c>
      <c r="O5" s="17">
        <f t="shared" ref="O5:O16" si="3">(4400/300)-(2/3)*K5</f>
        <v>14.666666666666666</v>
      </c>
    </row>
    <row r="6" spans="1:15" ht="17" customHeight="1" x14ac:dyDescent="0.35">
      <c r="B6" s="2"/>
      <c r="C6" s="6">
        <v>200</v>
      </c>
      <c r="E6" s="6">
        <v>300</v>
      </c>
      <c r="F6" s="1"/>
      <c r="G6" s="5"/>
      <c r="H6" s="1"/>
      <c r="K6" s="8">
        <v>2.5</v>
      </c>
      <c r="L6" s="8">
        <f t="shared" si="0"/>
        <v>15</v>
      </c>
      <c r="M6" s="8">
        <f t="shared" si="1"/>
        <v>12.75</v>
      </c>
      <c r="N6" s="17">
        <f t="shared" si="2"/>
        <v>-1.6666666666666665</v>
      </c>
      <c r="O6" s="17">
        <f t="shared" si="3"/>
        <v>13</v>
      </c>
    </row>
    <row r="7" spans="1:15" ht="17" customHeight="1" x14ac:dyDescent="0.45">
      <c r="G7" t="s">
        <v>23</v>
      </c>
      <c r="H7" s="1"/>
      <c r="K7" s="15">
        <v>4</v>
      </c>
      <c r="L7" s="8">
        <f t="shared" si="0"/>
        <v>12</v>
      </c>
      <c r="M7" s="8">
        <f t="shared" si="1"/>
        <v>12</v>
      </c>
      <c r="N7" s="17">
        <f t="shared" si="2"/>
        <v>-2.6666666666666665</v>
      </c>
      <c r="O7" s="17">
        <f t="shared" si="3"/>
        <v>12</v>
      </c>
    </row>
    <row r="8" spans="1:15" ht="17" customHeight="1" x14ac:dyDescent="0.45">
      <c r="G8" s="18" t="s">
        <v>27</v>
      </c>
      <c r="H8" s="1" t="s">
        <v>11</v>
      </c>
      <c r="I8" t="s">
        <v>24</v>
      </c>
      <c r="K8" s="8">
        <v>5</v>
      </c>
      <c r="L8" s="8">
        <f>20-2*K8</f>
        <v>10</v>
      </c>
      <c r="M8" s="8">
        <f>14-(1/2)*K8</f>
        <v>11.5</v>
      </c>
      <c r="N8" s="17">
        <f>-(2/3)*K8</f>
        <v>-3.333333333333333</v>
      </c>
      <c r="O8" s="17">
        <f t="shared" si="3"/>
        <v>11.333333333333332</v>
      </c>
    </row>
    <row r="9" spans="1:15" ht="17" customHeight="1" x14ac:dyDescent="0.45">
      <c r="G9" s="18" t="s">
        <v>28</v>
      </c>
      <c r="H9" s="1" t="s">
        <v>11</v>
      </c>
      <c r="I9" t="s">
        <v>29</v>
      </c>
      <c r="K9" s="8">
        <v>7.5</v>
      </c>
      <c r="L9" s="8">
        <f>20-2*K9</f>
        <v>5</v>
      </c>
      <c r="M9" s="8">
        <f>14-(1/2)*K9</f>
        <v>10.25</v>
      </c>
      <c r="N9" s="17">
        <f>-(2/3)*K9</f>
        <v>-5</v>
      </c>
      <c r="O9" s="17">
        <f t="shared" si="3"/>
        <v>9.6666666666666661</v>
      </c>
    </row>
    <row r="10" spans="1:15" ht="17" customHeight="1" x14ac:dyDescent="0.35">
      <c r="K10" s="8">
        <v>10</v>
      </c>
      <c r="L10" s="8">
        <f>20-2*K10</f>
        <v>0</v>
      </c>
      <c r="M10" s="8">
        <f>14-(1/2)*K10</f>
        <v>9</v>
      </c>
      <c r="N10" s="17">
        <f>-(2/3)*K10</f>
        <v>-6.6666666666666661</v>
      </c>
      <c r="O10" s="17">
        <f t="shared" si="3"/>
        <v>8</v>
      </c>
    </row>
    <row r="11" spans="1:15" ht="17" customHeight="1" x14ac:dyDescent="0.35">
      <c r="K11" s="8">
        <v>12.5</v>
      </c>
      <c r="L11" s="8">
        <f>20-2*K11</f>
        <v>-5</v>
      </c>
      <c r="M11" s="8">
        <f>14-(1/2)*K11</f>
        <v>7.75</v>
      </c>
      <c r="N11" s="17">
        <f>-(2/3)*K11</f>
        <v>-8.3333333333333321</v>
      </c>
      <c r="O11" s="17">
        <f t="shared" si="3"/>
        <v>6.3333333333333339</v>
      </c>
    </row>
    <row r="12" spans="1:15" ht="17" customHeight="1" x14ac:dyDescent="0.35">
      <c r="K12" s="8">
        <v>15</v>
      </c>
      <c r="L12" s="8">
        <f>20-2*K12</f>
        <v>-10</v>
      </c>
      <c r="M12" s="8">
        <f>14-(1/2)*K12</f>
        <v>6.5</v>
      </c>
      <c r="N12" s="17">
        <f>-(2/3)*K12</f>
        <v>-10</v>
      </c>
      <c r="O12" s="17">
        <f t="shared" si="3"/>
        <v>4.6666666666666661</v>
      </c>
    </row>
    <row r="13" spans="1:15" ht="17" customHeight="1" x14ac:dyDescent="0.35">
      <c r="K13" s="8">
        <v>17.5</v>
      </c>
      <c r="L13" s="8">
        <f>20-2*K13</f>
        <v>-15</v>
      </c>
      <c r="M13" s="8">
        <f>14-(1/2)*K13</f>
        <v>5.25</v>
      </c>
      <c r="N13" s="17">
        <f>-(2/3)*K13</f>
        <v>-11.666666666666666</v>
      </c>
      <c r="O13" s="17">
        <f t="shared" si="3"/>
        <v>3</v>
      </c>
    </row>
    <row r="14" spans="1:15" ht="17" customHeight="1" x14ac:dyDescent="0.35">
      <c r="K14" s="8">
        <v>20</v>
      </c>
      <c r="L14" s="8">
        <f>20-2*K14</f>
        <v>-20</v>
      </c>
      <c r="M14" s="8">
        <f>14-(1/2)*K14</f>
        <v>4</v>
      </c>
      <c r="N14" s="17">
        <f>-(2/3)*K14</f>
        <v>-13.333333333333332</v>
      </c>
      <c r="O14" s="17">
        <f t="shared" si="3"/>
        <v>1.3333333333333339</v>
      </c>
    </row>
    <row r="15" spans="1:15" ht="17" customHeight="1" x14ac:dyDescent="0.35">
      <c r="K15" s="8">
        <v>22.5</v>
      </c>
      <c r="L15" s="8">
        <f>20-2*K15</f>
        <v>-25</v>
      </c>
      <c r="M15" s="8">
        <f>14-(1/2)*K15</f>
        <v>2.75</v>
      </c>
      <c r="N15" s="17">
        <f>-(2/3)*K15</f>
        <v>-15</v>
      </c>
      <c r="O15" s="17">
        <f t="shared" si="3"/>
        <v>-0.33333333333333393</v>
      </c>
    </row>
    <row r="16" spans="1:15" ht="17" customHeight="1" x14ac:dyDescent="0.35">
      <c r="K16" s="8">
        <v>25</v>
      </c>
      <c r="L16" s="8">
        <f>20-2*K16</f>
        <v>-30</v>
      </c>
      <c r="M16" s="8">
        <f>14-(1/2)*K16</f>
        <v>1.5</v>
      </c>
      <c r="N16" s="17">
        <f>-(2/3)*K16</f>
        <v>-16.666666666666664</v>
      </c>
      <c r="O16" s="17">
        <f t="shared" si="3"/>
        <v>-1.9999999999999982</v>
      </c>
    </row>
    <row r="17" spans="11:14" x14ac:dyDescent="0.35">
      <c r="M17" s="14"/>
      <c r="N17" s="13"/>
    </row>
    <row r="18" spans="11:14" x14ac:dyDescent="0.35">
      <c r="K18" s="19"/>
      <c r="L18" s="19"/>
      <c r="M18" s="20"/>
      <c r="N18" s="20"/>
    </row>
    <row r="19" spans="11:14" x14ac:dyDescent="0.35">
      <c r="K19" s="20"/>
      <c r="L19" s="20"/>
      <c r="M19" s="20"/>
      <c r="N19" s="20"/>
    </row>
    <row r="20" spans="11:14" x14ac:dyDescent="0.35">
      <c r="K20" s="20"/>
      <c r="L20" s="20"/>
      <c r="M20" s="20"/>
      <c r="N20" s="20"/>
    </row>
    <row r="21" spans="11:14" x14ac:dyDescent="0.35">
      <c r="K21" s="20"/>
      <c r="L21" s="20"/>
      <c r="M21" s="20"/>
      <c r="N21" s="20"/>
    </row>
    <row r="22" spans="11:14" x14ac:dyDescent="0.35">
      <c r="K22" s="20"/>
      <c r="L22" s="20"/>
      <c r="M22" s="20"/>
      <c r="N22" s="20"/>
    </row>
    <row r="23" spans="11:14" x14ac:dyDescent="0.35">
      <c r="K23" s="20"/>
      <c r="L23" s="20"/>
      <c r="M23" s="20"/>
      <c r="N23" s="20"/>
    </row>
  </sheetData>
  <mergeCells count="1">
    <mergeCell ref="A1:O1"/>
  </mergeCells>
  <pageMargins left="0.7" right="0.7" top="0.75" bottom="0.75" header="0.3" footer="0.3"/>
  <drawing r:id="rId1"/>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6-Sep</vt:lpstr>
      <vt:lpstr>13-Sep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zxBAI Dmytrow,Ivan (IT EDP) EXTERNAL</dc:creator>
  <cp:lastModifiedBy>zxBAI Dmytrow,Ivan (IT EDP) EXTERNAL</cp:lastModifiedBy>
  <dcterms:created xsi:type="dcterms:W3CDTF">2025-09-06T13:01:26Z</dcterms:created>
  <dcterms:modified xsi:type="dcterms:W3CDTF">2025-09-13T21:04:16Z</dcterms:modified>
</cp:coreProperties>
</file>