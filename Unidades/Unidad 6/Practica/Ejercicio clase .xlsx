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https://d.docs.live.net/9a161ea31542415b/UTN/4to Año/Invest Op/Unidad 6/Practica/"/>
    </mc:Choice>
  </mc:AlternateContent>
  <xr:revisionPtr revIDLastSave="452" documentId="8_{EC5E85B8-CF3A-4393-8E92-B3A9E51F267C}" xr6:coauthVersionLast="47" xr6:coauthVersionMax="47" xr10:uidLastSave="{88D9D82A-D6CA-47E8-88FA-63AD1FDFCC39}"/>
  <bookViews>
    <workbookView xWindow="-108" yWindow="-108" windowWidth="23256" windowHeight="12456" firstSheet="1" activeTab="1" xr2:uid="{EF446FE4-F087-419A-863D-9208BC21C153}"/>
  </bookViews>
  <sheets>
    <sheet name="Ej minimizacion" sheetId="1" r:id="rId1"/>
    <sheet name="Ej maximizac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1" l="1"/>
  <c r="E32" i="1"/>
  <c r="H32" i="1"/>
  <c r="H46" i="1" s="1"/>
  <c r="G32" i="1"/>
  <c r="G46" i="1"/>
  <c r="G50" i="1" s="1"/>
  <c r="F50" i="1"/>
  <c r="I50" i="1"/>
  <c r="I32" i="1"/>
  <c r="E33" i="1"/>
  <c r="H33" i="1"/>
  <c r="H47" i="1" s="1"/>
  <c r="I33" i="1"/>
  <c r="M33" i="1" s="1"/>
  <c r="J33" i="1"/>
  <c r="C32" i="1"/>
  <c r="C46" i="1" s="1"/>
  <c r="G33" i="1"/>
  <c r="G47" i="1" s="1"/>
  <c r="C33" i="1"/>
  <c r="C47" i="1" s="1"/>
  <c r="M47" i="1" s="1"/>
  <c r="M18" i="1"/>
  <c r="M19" i="1"/>
  <c r="H50" i="1" l="1"/>
  <c r="M32" i="1"/>
  <c r="E47" i="1"/>
  <c r="E46" i="1"/>
  <c r="E50" i="1" s="1"/>
  <c r="M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invitado</author>
  </authors>
  <commentList>
    <comment ref="P45" authorId="0" shapeId="0" xr:uid="{E241164F-AAF9-4BDE-94C7-02637DCC3DC2}">
      <text>
        <r>
          <rPr>
            <sz val="11"/>
            <color theme="1"/>
            <rFont val="Aptos Narrow"/>
            <family val="2"/>
            <scheme val="minor"/>
          </rPr>
          <t xml:space="preserve">Usuario desconocido:
</t>
        </r>
      </text>
    </comment>
  </commentList>
</comments>
</file>

<file path=xl/sharedStrings.xml><?xml version="1.0" encoding="utf-8"?>
<sst xmlns="http://schemas.openxmlformats.org/spreadsheetml/2006/main" count="104" uniqueCount="47">
  <si>
    <t xml:space="preserve">Resolver el siguiente ejercicio analiticamente de minimizacion: </t>
  </si>
  <si>
    <t>W1</t>
  </si>
  <si>
    <t>W2</t>
  </si>
  <si>
    <t>W3</t>
  </si>
  <si>
    <t>C</t>
  </si>
  <si>
    <t xml:space="preserve">z = w1 + </t>
  </si>
  <si>
    <t>y1</t>
  </si>
  <si>
    <t>y2</t>
  </si>
  <si>
    <t>COSTO</t>
  </si>
  <si>
    <t>PASO 1:</t>
  </si>
  <si>
    <t>max. uso</t>
  </si>
  <si>
    <t>Restricciones max</t>
  </si>
  <si>
    <t>Xk</t>
  </si>
  <si>
    <t>w1</t>
  </si>
  <si>
    <t>w2</t>
  </si>
  <si>
    <t>w3</t>
  </si>
  <si>
    <t>λ1</t>
  </si>
  <si>
    <t>λ2</t>
  </si>
  <si>
    <t>μ1</t>
  </si>
  <si>
    <t>μ2</t>
  </si>
  <si>
    <t>Cj</t>
  </si>
  <si>
    <t>M</t>
  </si>
  <si>
    <t>Coheficientes Asociados</t>
  </si>
  <si>
    <t>Ck</t>
  </si>
  <si>
    <t xml:space="preserve">Bk </t>
  </si>
  <si>
    <t>aij</t>
  </si>
  <si>
    <t>θ</t>
  </si>
  <si>
    <t xml:space="preserve">M </t>
  </si>
  <si>
    <t xml:space="preserve">Z = </t>
  </si>
  <si>
    <t>700M</t>
  </si>
  <si>
    <t>M-3</t>
  </si>
  <si>
    <t>10 M -24</t>
  </si>
  <si>
    <t>0,08M - 1</t>
  </si>
  <si>
    <t>-M</t>
  </si>
  <si>
    <t>PASO 2:</t>
  </si>
  <si>
    <t>X</t>
  </si>
  <si>
    <t xml:space="preserve">Es el menor positivo </t>
  </si>
  <si>
    <t>366,7M + 800</t>
  </si>
  <si>
    <t>-0,667M+4</t>
  </si>
  <si>
    <t>-2 +0,496 M</t>
  </si>
  <si>
    <t>0,667 M -4</t>
  </si>
  <si>
    <t>PASO 3:</t>
  </si>
  <si>
    <t xml:space="preserve">Resolver el siguiente ejercicio analiticamente de maximizacion: </t>
  </si>
  <si>
    <r>
      <t>Variables duras =</t>
    </r>
    <r>
      <rPr>
        <sz val="11"/>
        <color rgb="FF000000"/>
        <rFont val="Arial"/>
        <family val="2"/>
        <charset val="1"/>
      </rPr>
      <t xml:space="preserve"> lo que queremos decidir (producción, inversión, transporte).</t>
    </r>
  </si>
  <si>
    <t>En el primal serán las de la base pero luego pasarán a ser las slack en el el dual</t>
  </si>
  <si>
    <r>
      <t xml:space="preserve">Variables </t>
    </r>
    <r>
      <rPr>
        <b/>
        <i/>
        <sz val="11"/>
        <color rgb="FF000000"/>
        <rFont val="Arial"/>
        <family val="2"/>
        <charset val="1"/>
      </rPr>
      <t>slack</t>
    </r>
    <r>
      <rPr>
        <b/>
        <sz val="11"/>
        <color rgb="FF000000"/>
        <rFont val="Arial"/>
        <family val="2"/>
        <charset val="1"/>
      </rPr>
      <t xml:space="preserve"> = </t>
    </r>
    <r>
      <rPr>
        <sz val="11"/>
        <color rgb="FF000000"/>
        <rFont val="Arial"/>
        <family val="2"/>
        <charset val="1"/>
      </rPr>
      <t>lo que sobra de un recurso; son auxiliares para resolver el problema.</t>
    </r>
  </si>
  <si>
    <t>En el primal serán las de la tabla pero luego pasarán a ser las duras en el 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</si>
</sst>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Calibri"/>
    </font>
    <font>
      <sz val="11"/>
      <color theme="1"/>
      <name val="Arial"/>
      <family val="2"/>
    </font>
    <font>
      <sz val="11"/>
      <color rgb="FF242424"/>
      <name val="Aptos Narrow"/>
      <charset val="1"/>
    </font>
    <font>
      <sz val="11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Arial"/>
      <family val="2"/>
      <charset val="1"/>
    </font>
    <font>
      <b/>
      <i/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4CCCC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dashed">
        <color rgb="FF000000"/>
      </right>
      <top style="dashed">
        <color rgb="FF000000"/>
      </top>
      <bottom/>
      <diagonal/>
    </border>
    <border>
      <left style="dashed">
        <color rgb="FF000000"/>
      </left>
      <right/>
      <top/>
      <bottom/>
      <diagonal/>
    </border>
    <border>
      <left/>
      <right style="dashed">
        <color rgb="FF000000"/>
      </right>
      <top/>
      <bottom/>
      <diagonal/>
    </border>
    <border>
      <left style="dashed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rgb="FF000000"/>
      </right>
      <top style="thin">
        <color indexed="64"/>
      </top>
      <bottom style="thin">
        <color indexed="64"/>
      </bottom>
      <diagonal/>
    </border>
    <border>
      <left style="dashed">
        <color rgb="FF000000"/>
      </left>
      <right/>
      <top/>
      <bottom style="dashed">
        <color rgb="FF000000"/>
      </bottom>
      <diagonal/>
    </border>
    <border>
      <left/>
      <right/>
      <top/>
      <bottom style="dashed">
        <color rgb="FF000000"/>
      </bottom>
      <diagonal/>
    </border>
    <border>
      <left/>
      <right style="dashed">
        <color rgb="FF000000"/>
      </right>
      <top/>
      <bottom style="dashed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dashed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3" xfId="0" applyBorder="1" applyAlignment="1">
      <alignment horizontal="center" vertical="center"/>
    </xf>
    <xf numFmtId="0" fontId="2" fillId="0" borderId="0" xfId="0" applyFont="1"/>
    <xf numFmtId="0" fontId="2" fillId="0" borderId="0" xfId="0" quotePrefix="1" applyFont="1"/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1" xfId="0" quotePrefix="1" applyBorder="1" applyAlignment="1">
      <alignment horizontal="center" vertical="center"/>
    </xf>
    <xf numFmtId="0" fontId="0" fillId="5" borderId="1" xfId="0" applyFill="1" applyBorder="1"/>
    <xf numFmtId="0" fontId="0" fillId="5" borderId="0" xfId="0" applyFill="1"/>
    <xf numFmtId="164" fontId="0" fillId="0" borderId="0" xfId="0" applyNumberFormat="1"/>
    <xf numFmtId="0" fontId="0" fillId="2" borderId="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0" fontId="0" fillId="6" borderId="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6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0" fillId="0" borderId="4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164" fontId="0" fillId="6" borderId="3" xfId="0" applyNumberForma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0" fillId="4" borderId="1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11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6" borderId="0" xfId="0" applyFill="1"/>
    <xf numFmtId="0" fontId="0" fillId="6" borderId="11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0" xfId="0" applyNumberFormat="1"/>
    <xf numFmtId="0" fontId="5" fillId="0" borderId="11" xfId="0" applyFont="1" applyBorder="1" applyAlignment="1">
      <alignment horizontal="center" vertical="center"/>
    </xf>
    <xf numFmtId="0" fontId="1" fillId="0" borderId="0" xfId="0" applyFont="1"/>
    <xf numFmtId="0" fontId="5" fillId="0" borderId="0" xfId="0" applyFont="1"/>
    <xf numFmtId="0" fontId="0" fillId="4" borderId="0" xfId="0" applyFill="1"/>
    <xf numFmtId="0" fontId="5" fillId="0" borderId="11" xfId="0" applyFont="1" applyBorder="1" applyAlignment="1">
      <alignment horizontal="right" vertical="center"/>
    </xf>
    <xf numFmtId="0" fontId="10" fillId="0" borderId="0" xfId="0" applyFont="1" applyAlignment="1">
      <alignment readingOrder="1"/>
    </xf>
    <xf numFmtId="0" fontId="11" fillId="0" borderId="0" xfId="0" applyFont="1" applyAlignment="1">
      <alignment readingOrder="1"/>
    </xf>
    <xf numFmtId="0" fontId="0" fillId="0" borderId="0" xfId="0" applyAlignment="1">
      <alignment horizontal="center"/>
    </xf>
    <xf numFmtId="0" fontId="6" fillId="7" borderId="16" xfId="0" applyFont="1" applyFill="1" applyBorder="1" applyAlignment="1">
      <alignment horizontal="center" readingOrder="1"/>
    </xf>
    <xf numFmtId="0" fontId="6" fillId="7" borderId="0" xfId="0" applyFont="1" applyFill="1" applyAlignment="1">
      <alignment horizontal="center" readingOrder="1"/>
    </xf>
    <xf numFmtId="0" fontId="6" fillId="7" borderId="17" xfId="0" applyFont="1" applyFill="1" applyBorder="1" applyAlignment="1">
      <alignment horizontal="center" readingOrder="1"/>
    </xf>
    <xf numFmtId="0" fontId="6" fillId="7" borderId="14" xfId="0" applyFont="1" applyFill="1" applyBorder="1" applyAlignment="1">
      <alignment horizontal="center" readingOrder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tm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customXml" Target="../ink/ink1.xml"/><Relationship Id="rId1" Type="http://schemas.openxmlformats.org/officeDocument/2006/relationships/image" Target="../media/image4.png"/><Relationship Id="rId5" Type="http://schemas.openxmlformats.org/officeDocument/2006/relationships/image" Target="../media/image6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152400</xdr:colOff>
      <xdr:row>20</xdr:row>
      <xdr:rowOff>124265</xdr:rowOff>
    </xdr:from>
    <xdr:ext cx="1222555" cy="320040"/>
    <xdr:pic>
      <xdr:nvPicPr>
        <xdr:cNvPr id="4" name="Imagen 1">
          <a:extLst>
            <a:ext uri="{FF2B5EF4-FFF2-40B4-BE49-F238E27FC236}">
              <a16:creationId xmlns:a16="http://schemas.microsoft.com/office/drawing/2014/main" id="{AF9DA33B-240F-4E9B-A277-663D4A032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77100" y="3964745"/>
          <a:ext cx="1222555" cy="320040"/>
        </a:xfrm>
        <a:prstGeom prst="rect">
          <a:avLst/>
        </a:prstGeom>
      </xdr:spPr>
    </xdr:pic>
    <xdr:clientData/>
  </xdr:oneCellAnchor>
  <xdr:oneCellAnchor>
    <xdr:from>
      <xdr:col>11</xdr:col>
      <xdr:colOff>152400</xdr:colOff>
      <xdr:row>34</xdr:row>
      <xdr:rowOff>124265</xdr:rowOff>
    </xdr:from>
    <xdr:ext cx="1222555" cy="320040"/>
    <xdr:pic>
      <xdr:nvPicPr>
        <xdr:cNvPr id="10" name="Imagen 1">
          <a:extLst>
            <a:ext uri="{FF2B5EF4-FFF2-40B4-BE49-F238E27FC236}">
              <a16:creationId xmlns:a16="http://schemas.microsoft.com/office/drawing/2014/main" id="{C029F2CC-AC59-4A5B-A14C-1B2FC933E722}"/>
            </a:ext>
            <a:ext uri="{147F2762-F138-4A5C-976F-8EAC2B608ADB}">
              <a16:predDERef xmlns:a16="http://schemas.microsoft.com/office/drawing/2014/main" pred="{AF9DA33B-240F-4E9B-A277-663D4A032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48475" y="3915215"/>
          <a:ext cx="1222555" cy="320040"/>
        </a:xfrm>
        <a:prstGeom prst="rect">
          <a:avLst/>
        </a:prstGeom>
      </xdr:spPr>
    </xdr:pic>
    <xdr:clientData/>
  </xdr:oneCellAnchor>
  <xdr:oneCellAnchor>
    <xdr:from>
      <xdr:col>11</xdr:col>
      <xdr:colOff>152400</xdr:colOff>
      <xdr:row>48</xdr:row>
      <xdr:rowOff>124265</xdr:rowOff>
    </xdr:from>
    <xdr:ext cx="1222555" cy="320040"/>
    <xdr:pic>
      <xdr:nvPicPr>
        <xdr:cNvPr id="11" name="Imagen 1">
          <a:extLst>
            <a:ext uri="{FF2B5EF4-FFF2-40B4-BE49-F238E27FC236}">
              <a16:creationId xmlns:a16="http://schemas.microsoft.com/office/drawing/2014/main" id="{C1F0379D-3EBF-40E6-A6E1-94019DF4B6F9}"/>
            </a:ext>
            <a:ext uri="{147F2762-F138-4A5C-976F-8EAC2B608ADB}">
              <a16:predDERef xmlns:a16="http://schemas.microsoft.com/office/drawing/2014/main" pred="{C029F2CC-AC59-4A5B-A14C-1B2FC933E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0" y="6572690"/>
          <a:ext cx="1222555" cy="320040"/>
        </a:xfrm>
        <a:prstGeom prst="rect">
          <a:avLst/>
        </a:prstGeom>
      </xdr:spPr>
    </xdr:pic>
    <xdr:clientData/>
  </xdr:oneCellAnchor>
  <xdr:twoCellAnchor editAs="oneCell">
    <xdr:from>
      <xdr:col>13</xdr:col>
      <xdr:colOff>142875</xdr:colOff>
      <xdr:row>20</xdr:row>
      <xdr:rowOff>9525</xdr:rowOff>
    </xdr:from>
    <xdr:to>
      <xdr:col>15</xdr:col>
      <xdr:colOff>424815</xdr:colOff>
      <xdr:row>23</xdr:row>
      <xdr:rowOff>32385</xdr:rowOff>
    </xdr:to>
    <xdr:pic>
      <xdr:nvPicPr>
        <xdr:cNvPr id="16" name="Imagen 1">
          <a:extLst>
            <a:ext uri="{FF2B5EF4-FFF2-40B4-BE49-F238E27FC236}">
              <a16:creationId xmlns:a16="http://schemas.microsoft.com/office/drawing/2014/main" id="{64853131-0287-DC52-6262-EAA573DEE2AA}"/>
            </a:ext>
            <a:ext uri="{147F2762-F138-4A5C-976F-8EAC2B608ADB}">
              <a16:predDERef xmlns:a16="http://schemas.microsoft.com/office/drawing/2014/main" pred="{C1F0379D-3EBF-40E6-A6E1-94019DF4B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r="59275"/>
        <a:stretch>
          <a:fillRect/>
        </a:stretch>
      </xdr:blipFill>
      <xdr:spPr>
        <a:xfrm>
          <a:off x="9858375" y="3800475"/>
          <a:ext cx="1181100" cy="5715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53</xdr:row>
      <xdr:rowOff>171450</xdr:rowOff>
    </xdr:from>
    <xdr:to>
      <xdr:col>13</xdr:col>
      <xdr:colOff>220980</xdr:colOff>
      <xdr:row>68</xdr:row>
      <xdr:rowOff>142875</xdr:rowOff>
    </xdr:to>
    <xdr:pic>
      <xdr:nvPicPr>
        <xdr:cNvPr id="23" name="Imagen 21">
          <a:extLst>
            <a:ext uri="{FF2B5EF4-FFF2-40B4-BE49-F238E27FC236}">
              <a16:creationId xmlns:a16="http://schemas.microsoft.com/office/drawing/2014/main" id="{757D9E5A-3399-F945-3E20-E438454F209F}"/>
            </a:ext>
            <a:ext uri="{147F2762-F138-4A5C-976F-8EAC2B608ADB}">
              <a16:predDERef xmlns:a16="http://schemas.microsoft.com/office/drawing/2014/main" pred="{64853131-0287-DC52-6262-EAA573DEE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" y="10144125"/>
          <a:ext cx="10020300" cy="2714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14</xdr:col>
      <xdr:colOff>679535</xdr:colOff>
      <xdr:row>52</xdr:row>
      <xdr:rowOff>6176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D313B9-C4DA-73BF-1FD4-5F3A642E1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9709" y="2341418"/>
          <a:ext cx="10945753" cy="7030431"/>
        </a:xfrm>
        <a:prstGeom prst="rect">
          <a:avLst/>
        </a:prstGeom>
      </xdr:spPr>
    </xdr:pic>
    <xdr:clientData/>
  </xdr:twoCellAnchor>
  <xdr:twoCellAnchor editAs="oneCell">
    <xdr:from>
      <xdr:col>1</xdr:col>
      <xdr:colOff>64052</xdr:colOff>
      <xdr:row>45</xdr:row>
      <xdr:rowOff>169929</xdr:rowOff>
    </xdr:from>
    <xdr:to>
      <xdr:col>4</xdr:col>
      <xdr:colOff>683529</xdr:colOff>
      <xdr:row>51</xdr:row>
      <xdr:rowOff>128363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22C66686-5741-5513-BD8A-C32D5B0482A2}"/>
                </a:ext>
              </a:extLst>
            </xdr14:cNvPr>
            <xdr14:cNvContentPartPr/>
          </xdr14:nvContentPartPr>
          <xdr14:nvPr macro=""/>
          <xdr14:xfrm>
            <a:off x="855360" y="8346775"/>
            <a:ext cx="2993400" cy="1048680"/>
          </xdr14:xfrm>
        </xdr:contentPart>
      </mc:Choice>
      <mc:Fallback xmlns="">
        <xdr:pic>
          <xdr:nvPicPr>
            <xdr:cNvPr id="3" name="Entrada de lápiz 2">
              <a:extLst>
                <a:ext uri="{FF2B5EF4-FFF2-40B4-BE49-F238E27FC236}">
                  <a16:creationId xmlns:a16="http://schemas.microsoft.com/office/drawing/2014/main" id="{22C66686-5741-5513-BD8A-C32D5B0482A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849240" y="8340655"/>
              <a:ext cx="3005640" cy="10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644289</xdr:colOff>
      <xdr:row>50</xdr:row>
      <xdr:rowOff>167870</xdr:rowOff>
    </xdr:from>
    <xdr:to>
      <xdr:col>5</xdr:col>
      <xdr:colOff>240342</xdr:colOff>
      <xdr:row>51</xdr:row>
      <xdr:rowOff>52763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Entrada de lápiz 4">
              <a:extLst>
                <a:ext uri="{FF2B5EF4-FFF2-40B4-BE49-F238E27FC236}">
                  <a16:creationId xmlns:a16="http://schemas.microsoft.com/office/drawing/2014/main" id="{0436D8D1-9EA4-2ACC-8D54-F8560B60FFF8}"/>
                </a:ext>
              </a:extLst>
            </xdr14:cNvPr>
            <xdr14:cNvContentPartPr/>
          </xdr14:nvContentPartPr>
          <xdr14:nvPr macro=""/>
          <xdr14:xfrm>
            <a:off x="3809520" y="9253255"/>
            <a:ext cx="387360" cy="66600"/>
          </xdr14:xfrm>
        </xdr:contentPart>
      </mc:Choice>
      <mc:Fallback xmlns="">
        <xdr:pic>
          <xdr:nvPicPr>
            <xdr:cNvPr id="5" name="Entrada de lápiz 4">
              <a:extLst>
                <a:ext uri="{FF2B5EF4-FFF2-40B4-BE49-F238E27FC236}">
                  <a16:creationId xmlns:a16="http://schemas.microsoft.com/office/drawing/2014/main" id="{0436D8D1-9EA4-2ACC-8D54-F8560B60FFF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803400" y="9247135"/>
              <a:ext cx="399600" cy="78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0T14:06:33.727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 0 24575,'17'1'0,"-1"0"0,1 2 0,0-1 0,-1 2 0,29 10 0,78 40 0,-15-6 0,412 160 0,-378-152 0,152 55 0,-53-45 0,59 38 0,-178-60 0,178 59 0,137 50 0,-271-101 0,-112-37 0,-1 1 0,-1 3 0,74 38 0,-98-43 0,0-2 0,1-1 0,0-2 0,49 10 0,51 16 0,-77-16 0,171 57 0,-3 5 0,-79-25 0,271 110 0,-368-145 0,80 24 0,57 20 0,121 47 0,-163-50 0,-29-11 0,43 7 0,47 20 0,-68-34 0,-88-31 0,55 23 0,217 85 0,-154-64 0,153 48 0,-300-100 0,329 127 0,-273-104 0,2-2 0,94 19 0,-6-1 0,-131-35 0,7 3 0,1-1 0,68 9 0,-24-11-455,0 3 0,152 44 0,-216-50-6371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0T14:06:38.722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0 120 24505,'1076'-33'0,"-1263"-54"0,374 174 0,-369 11 0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ACE24-9C3F-41A9-96D2-B7644E5D64C3}">
  <dimension ref="A1:S52"/>
  <sheetViews>
    <sheetView topLeftCell="A31" workbookViewId="0">
      <selection activeCell="S48" sqref="S48"/>
    </sheetView>
  </sheetViews>
  <sheetFormatPr defaultColWidth="11.42578125" defaultRowHeight="14.45"/>
  <cols>
    <col min="2" max="2" width="11.7109375" bestFit="1" customWidth="1"/>
    <col min="5" max="5" width="13.28515625" bestFit="1" customWidth="1"/>
    <col min="6" max="6" width="10.5703125" customWidth="1"/>
    <col min="7" max="7" width="14.28515625" customWidth="1"/>
    <col min="8" max="8" width="7.7109375" customWidth="1"/>
    <col min="9" max="9" width="10.7109375" customWidth="1"/>
    <col min="10" max="12" width="6.5703125" customWidth="1"/>
    <col min="13" max="13" width="20.85546875" bestFit="1" customWidth="1"/>
    <col min="14" max="19" width="6.5703125" customWidth="1"/>
    <col min="20" max="25" width="6.140625" customWidth="1"/>
  </cols>
  <sheetData>
    <row r="1" spans="1:19">
      <c r="A1" t="s">
        <v>0</v>
      </c>
    </row>
    <row r="2" spans="1:19">
      <c r="A2" s="4"/>
      <c r="B2" s="4" t="s">
        <v>1</v>
      </c>
      <c r="C2" s="4" t="s">
        <v>2</v>
      </c>
      <c r="D2" s="4" t="s">
        <v>3</v>
      </c>
      <c r="E2" s="4" t="s">
        <v>4</v>
      </c>
      <c r="H2" s="7" t="s">
        <v>5</v>
      </c>
    </row>
    <row r="3" spans="1:19">
      <c r="A3" s="4" t="s">
        <v>6</v>
      </c>
      <c r="B3" s="4">
        <v>0</v>
      </c>
      <c r="C3" s="4">
        <v>4</v>
      </c>
      <c r="D3" s="4">
        <v>0.33</v>
      </c>
      <c r="E3" s="4">
        <v>500</v>
      </c>
    </row>
    <row r="4" spans="1:19">
      <c r="A4" s="4" t="s">
        <v>7</v>
      </c>
      <c r="B4" s="4">
        <v>1</v>
      </c>
      <c r="C4" s="4">
        <v>6</v>
      </c>
      <c r="D4" s="4">
        <v>-0.25</v>
      </c>
      <c r="E4" s="4">
        <v>200</v>
      </c>
    </row>
    <row r="5" spans="1:19">
      <c r="A5" s="4" t="s">
        <v>8</v>
      </c>
      <c r="B5" s="4">
        <v>3</v>
      </c>
      <c r="C5" s="4">
        <v>24</v>
      </c>
      <c r="D5" s="4">
        <v>1</v>
      </c>
      <c r="E5" s="4"/>
    </row>
    <row r="8" spans="1:19">
      <c r="E8" s="5"/>
      <c r="F8" s="5"/>
      <c r="G8" s="5"/>
      <c r="H8" s="6"/>
      <c r="I8" s="5"/>
      <c r="J8" s="5"/>
      <c r="K8" s="6"/>
      <c r="L8" s="5"/>
      <c r="M8" s="5"/>
      <c r="N8" s="6"/>
      <c r="O8" s="5"/>
      <c r="P8" s="5"/>
      <c r="Q8" s="6"/>
      <c r="R8" s="5"/>
      <c r="S8" s="5"/>
    </row>
    <row r="9" spans="1:19"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>
      <c r="E10" s="5"/>
      <c r="F10" s="5"/>
      <c r="G10" s="5"/>
      <c r="H10" s="6"/>
      <c r="I10" s="5"/>
      <c r="J10" s="5"/>
      <c r="K10" s="6"/>
      <c r="L10" s="5"/>
      <c r="M10" s="5"/>
      <c r="N10" s="6"/>
      <c r="O10" s="5"/>
      <c r="P10" s="5"/>
      <c r="Q10" s="6"/>
      <c r="R10" s="5"/>
      <c r="S10" s="5"/>
    </row>
    <row r="11" spans="1:19">
      <c r="E11" s="5"/>
      <c r="F11" s="5"/>
      <c r="G11" s="5"/>
      <c r="H11" s="6"/>
      <c r="I11" s="5"/>
      <c r="J11" s="5"/>
      <c r="K11" s="6"/>
      <c r="L11" s="5"/>
      <c r="M11" s="5"/>
      <c r="N11" s="6"/>
      <c r="O11" s="5"/>
      <c r="P11" s="5"/>
      <c r="Q11" s="6"/>
      <c r="R11" s="5"/>
      <c r="S11" s="5"/>
    </row>
    <row r="12" spans="1:19">
      <c r="E12" s="5"/>
      <c r="F12" s="5"/>
      <c r="G12" s="5"/>
      <c r="H12" s="6"/>
      <c r="I12" s="5"/>
      <c r="J12" s="5"/>
      <c r="K12" s="6"/>
      <c r="L12" s="5"/>
      <c r="M12" s="5"/>
      <c r="N12" s="6"/>
      <c r="O12" s="5"/>
      <c r="P12" s="5"/>
      <c r="Q12" s="6"/>
      <c r="R12" s="5"/>
      <c r="S12" s="5"/>
    </row>
    <row r="13" spans="1:19">
      <c r="A13" s="61" t="s">
        <v>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</row>
    <row r="14" spans="1:19">
      <c r="A14" s="35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7"/>
    </row>
    <row r="15" spans="1:19">
      <c r="A15" s="38" t="s">
        <v>10</v>
      </c>
      <c r="C15" t="s">
        <v>11</v>
      </c>
      <c r="D15" s="60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 t="s">
        <v>17</v>
      </c>
      <c r="J15" s="1" t="s">
        <v>18</v>
      </c>
      <c r="K15" s="1" t="s">
        <v>19</v>
      </c>
      <c r="M15" s="39"/>
    </row>
    <row r="16" spans="1:19">
      <c r="A16" s="38"/>
      <c r="D16" s="60" t="s">
        <v>20</v>
      </c>
      <c r="E16" s="1">
        <v>3</v>
      </c>
      <c r="F16" s="1">
        <v>24</v>
      </c>
      <c r="G16" s="1">
        <v>1</v>
      </c>
      <c r="H16" s="1">
        <v>0</v>
      </c>
      <c r="I16" s="1">
        <v>0</v>
      </c>
      <c r="J16" s="1" t="s">
        <v>21</v>
      </c>
      <c r="K16" s="1" t="s">
        <v>21</v>
      </c>
      <c r="M16" s="39" t="s">
        <v>22</v>
      </c>
    </row>
    <row r="17" spans="1:15">
      <c r="A17" s="40" t="s">
        <v>23</v>
      </c>
      <c r="B17" s="3" t="s">
        <v>12</v>
      </c>
      <c r="C17" s="3" t="s">
        <v>24</v>
      </c>
      <c r="E17" s="7" t="s">
        <v>25</v>
      </c>
      <c r="F17" s="7"/>
      <c r="G17" s="7"/>
      <c r="H17" s="7"/>
      <c r="J17" s="7"/>
      <c r="K17" s="7"/>
      <c r="M17" s="41" t="s">
        <v>26</v>
      </c>
    </row>
    <row r="18" spans="1:15">
      <c r="A18" s="42" t="s">
        <v>21</v>
      </c>
      <c r="B18" s="3" t="s">
        <v>18</v>
      </c>
      <c r="C18" s="3">
        <v>500</v>
      </c>
      <c r="E18" s="4">
        <v>0</v>
      </c>
      <c r="F18" s="22">
        <v>4</v>
      </c>
      <c r="G18" s="4">
        <v>0.33</v>
      </c>
      <c r="H18" s="4">
        <v>-1</v>
      </c>
      <c r="I18" s="4">
        <v>0</v>
      </c>
      <c r="J18" s="4">
        <v>1</v>
      </c>
      <c r="K18" s="4">
        <v>0</v>
      </c>
      <c r="M18" s="43">
        <f>+C18/F18</f>
        <v>125</v>
      </c>
    </row>
    <row r="19" spans="1:15">
      <c r="A19" s="53" t="s">
        <v>27</v>
      </c>
      <c r="B19" s="3" t="s">
        <v>19</v>
      </c>
      <c r="C19" s="57">
        <v>200</v>
      </c>
      <c r="E19" s="22">
        <v>1</v>
      </c>
      <c r="F19" s="20">
        <v>6</v>
      </c>
      <c r="G19" s="22">
        <v>-0.25</v>
      </c>
      <c r="H19" s="22">
        <v>0</v>
      </c>
      <c r="I19" s="22">
        <v>-1</v>
      </c>
      <c r="J19" s="22">
        <v>0</v>
      </c>
      <c r="K19" s="22">
        <v>1</v>
      </c>
      <c r="M19" s="44">
        <f>+C19/F19</f>
        <v>33.333333333333336</v>
      </c>
    </row>
    <row r="20" spans="1:15">
      <c r="A20" s="38"/>
      <c r="J20" s="7"/>
      <c r="K20" s="7"/>
      <c r="M20" s="39"/>
    </row>
    <row r="21" spans="1:15">
      <c r="A21" s="38"/>
      <c r="J21" s="7"/>
      <c r="K21" s="7"/>
      <c r="M21" s="39"/>
    </row>
    <row r="22" spans="1:15">
      <c r="A22" s="45" t="s">
        <v>28</v>
      </c>
      <c r="B22" s="1" t="s">
        <v>29</v>
      </c>
      <c r="E22" s="1" t="s">
        <v>30</v>
      </c>
      <c r="F22" s="2" t="s">
        <v>31</v>
      </c>
      <c r="G22" s="1" t="s">
        <v>32</v>
      </c>
      <c r="H22" s="9" t="s">
        <v>33</v>
      </c>
      <c r="I22" s="29" t="s">
        <v>33</v>
      </c>
      <c r="J22" s="29">
        <v>0</v>
      </c>
      <c r="K22" s="29">
        <v>0</v>
      </c>
      <c r="M22" s="39"/>
    </row>
    <row r="23" spans="1:15">
      <c r="A23" s="38"/>
      <c r="M23" s="39"/>
    </row>
    <row r="24" spans="1:15">
      <c r="A24" s="46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8"/>
    </row>
    <row r="27" spans="1:15">
      <c r="A27" s="63" t="s">
        <v>34</v>
      </c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</row>
    <row r="28" spans="1:15">
      <c r="A28" s="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7"/>
    </row>
    <row r="29" spans="1:15">
      <c r="A29" s="38" t="s">
        <v>10</v>
      </c>
      <c r="C29" t="s">
        <v>11</v>
      </c>
      <c r="D29" s="60" t="s">
        <v>12</v>
      </c>
      <c r="E29" s="1" t="s">
        <v>13</v>
      </c>
      <c r="F29" s="1" t="s">
        <v>14</v>
      </c>
      <c r="G29" s="1" t="s">
        <v>15</v>
      </c>
      <c r="H29" s="1" t="s">
        <v>16</v>
      </c>
      <c r="I29" s="16" t="s">
        <v>17</v>
      </c>
      <c r="J29" s="3" t="s">
        <v>18</v>
      </c>
      <c r="K29" s="10" t="s">
        <v>19</v>
      </c>
      <c r="N29" s="39"/>
    </row>
    <row r="30" spans="1:15">
      <c r="A30" s="38"/>
      <c r="D30" s="60" t="s">
        <v>20</v>
      </c>
      <c r="E30" s="1">
        <v>3</v>
      </c>
      <c r="F30" s="1">
        <v>24</v>
      </c>
      <c r="G30" s="1">
        <v>1</v>
      </c>
      <c r="H30" s="1">
        <v>0</v>
      </c>
      <c r="I30" s="16">
        <v>0</v>
      </c>
      <c r="J30" s="3" t="s">
        <v>21</v>
      </c>
      <c r="K30" s="10" t="s">
        <v>21</v>
      </c>
      <c r="M30" t="s">
        <v>22</v>
      </c>
      <c r="N30" s="39"/>
    </row>
    <row r="31" spans="1:15">
      <c r="A31" s="40" t="s">
        <v>23</v>
      </c>
      <c r="B31" s="3" t="s">
        <v>12</v>
      </c>
      <c r="C31" s="3" t="s">
        <v>24</v>
      </c>
      <c r="E31" s="7" t="s">
        <v>25</v>
      </c>
      <c r="F31" s="7"/>
      <c r="G31" s="7"/>
      <c r="H31" s="7"/>
      <c r="I31" s="49"/>
      <c r="K31" s="11"/>
      <c r="M31" s="51" t="s">
        <v>26</v>
      </c>
      <c r="N31" s="39"/>
    </row>
    <row r="32" spans="1:15">
      <c r="A32" s="50" t="s">
        <v>21</v>
      </c>
      <c r="B32" s="15" t="s">
        <v>18</v>
      </c>
      <c r="C32" s="15">
        <f>+C18-(C19*F18)/F19</f>
        <v>366.66666666666663</v>
      </c>
      <c r="D32" s="49"/>
      <c r="E32" s="31">
        <f>+E18-(F18*E19)/F19</f>
        <v>-0.66666666666666663</v>
      </c>
      <c r="F32" s="19">
        <v>0</v>
      </c>
      <c r="G32" s="19">
        <f>G18-(G19*F18)/F19</f>
        <v>0.4966666666666667</v>
      </c>
      <c r="H32" s="19">
        <f>+H18-(F18*H19)/F19</f>
        <v>-1</v>
      </c>
      <c r="I32" s="20">
        <f>+I18-(F18*I19)/F19</f>
        <v>0.66666666666666663</v>
      </c>
      <c r="J32" s="19">
        <v>1</v>
      </c>
      <c r="K32" s="21" t="s">
        <v>35</v>
      </c>
      <c r="L32" s="49"/>
      <c r="M32" s="14">
        <f>I32/C32</f>
        <v>1.8181818181818182E-3</v>
      </c>
      <c r="N32" s="39"/>
      <c r="O32" t="s">
        <v>36</v>
      </c>
    </row>
    <row r="33" spans="1:16">
      <c r="A33" s="53">
        <v>24</v>
      </c>
      <c r="B33" s="3" t="s">
        <v>14</v>
      </c>
      <c r="C33" s="8">
        <f>+C19/F19</f>
        <v>33.333333333333336</v>
      </c>
      <c r="E33" s="32">
        <f>+E19/F19</f>
        <v>0.16666666666666666</v>
      </c>
      <c r="F33" s="4">
        <v>1</v>
      </c>
      <c r="G33" s="4">
        <f>G19/$F$19</f>
        <v>-4.1666666666666664E-2</v>
      </c>
      <c r="H33" s="4">
        <f>H19/$F$19</f>
        <v>0</v>
      </c>
      <c r="I33" s="19">
        <f>I19/$F$19</f>
        <v>-0.16666666666666666</v>
      </c>
      <c r="J33" s="4">
        <f>J19/$F$19</f>
        <v>0</v>
      </c>
      <c r="K33" s="21" t="s">
        <v>35</v>
      </c>
      <c r="M33" s="1">
        <f>I33/C33</f>
        <v>-4.9999999999999992E-3</v>
      </c>
      <c r="N33" s="39"/>
    </row>
    <row r="34" spans="1:16">
      <c r="A34" s="38"/>
      <c r="N34" s="39"/>
    </row>
    <row r="35" spans="1:16">
      <c r="A35" s="38"/>
      <c r="N35" s="39"/>
    </row>
    <row r="36" spans="1:16">
      <c r="A36" s="45" t="s">
        <v>28</v>
      </c>
      <c r="B36" s="1" t="s">
        <v>37</v>
      </c>
      <c r="E36" s="18" t="s">
        <v>38</v>
      </c>
      <c r="F36" s="17">
        <v>0</v>
      </c>
      <c r="G36" s="30" t="s">
        <v>39</v>
      </c>
      <c r="H36" s="9" t="s">
        <v>33</v>
      </c>
      <c r="I36" s="13" t="s">
        <v>40</v>
      </c>
      <c r="J36" s="3">
        <v>0</v>
      </c>
      <c r="K36" s="3"/>
      <c r="N36" s="39"/>
    </row>
    <row r="37" spans="1:16">
      <c r="A37" s="38"/>
      <c r="I37" s="52"/>
      <c r="N37" s="39"/>
    </row>
    <row r="38" spans="1:16">
      <c r="A38" s="46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8"/>
    </row>
    <row r="39" spans="1:16">
      <c r="E39" s="12"/>
    </row>
    <row r="41" spans="1:16">
      <c r="A41" s="63" t="s">
        <v>41</v>
      </c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</row>
    <row r="42" spans="1:16">
      <c r="A42" s="35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7"/>
    </row>
    <row r="43" spans="1:16">
      <c r="A43" s="38" t="s">
        <v>10</v>
      </c>
      <c r="C43" t="s">
        <v>11</v>
      </c>
      <c r="D43" s="60" t="s">
        <v>12</v>
      </c>
      <c r="E43" s="1" t="s">
        <v>13</v>
      </c>
      <c r="F43" s="1" t="s">
        <v>14</v>
      </c>
      <c r="G43" s="1" t="s">
        <v>15</v>
      </c>
      <c r="H43" s="1" t="s">
        <v>16</v>
      </c>
      <c r="I43" s="26" t="s">
        <v>17</v>
      </c>
      <c r="J43" s="10" t="s">
        <v>18</v>
      </c>
      <c r="K43" s="10" t="s">
        <v>19</v>
      </c>
      <c r="N43" s="39"/>
    </row>
    <row r="44" spans="1:16">
      <c r="A44" s="38"/>
      <c r="D44" s="60" t="s">
        <v>20</v>
      </c>
      <c r="E44" s="1">
        <v>3</v>
      </c>
      <c r="F44" s="1">
        <v>24</v>
      </c>
      <c r="G44" s="1">
        <v>1</v>
      </c>
      <c r="H44" s="1">
        <v>0</v>
      </c>
      <c r="I44" s="26">
        <v>0</v>
      </c>
      <c r="J44" s="10" t="s">
        <v>21</v>
      </c>
      <c r="K44" s="10" t="s">
        <v>21</v>
      </c>
      <c r="M44" t="s">
        <v>22</v>
      </c>
      <c r="N44" s="39"/>
    </row>
    <row r="45" spans="1:16">
      <c r="A45" s="40" t="s">
        <v>23</v>
      </c>
      <c r="B45" s="3" t="s">
        <v>12</v>
      </c>
      <c r="C45" s="3" t="s">
        <v>24</v>
      </c>
      <c r="E45" s="7" t="s">
        <v>25</v>
      </c>
      <c r="F45" s="7"/>
      <c r="G45" s="7"/>
      <c r="H45" s="7"/>
      <c r="J45" s="11"/>
      <c r="K45" s="11"/>
      <c r="M45" s="51" t="s">
        <v>26</v>
      </c>
      <c r="N45" s="39"/>
    </row>
    <row r="46" spans="1:16">
      <c r="A46" s="53">
        <v>0</v>
      </c>
      <c r="B46" s="24" t="s">
        <v>17</v>
      </c>
      <c r="C46" s="25">
        <f>+C32/I32</f>
        <v>550</v>
      </c>
      <c r="D46" s="54"/>
      <c r="E46" s="27">
        <f>+E32/I32</f>
        <v>-1</v>
      </c>
      <c r="F46" s="27">
        <v>0</v>
      </c>
      <c r="G46" s="27">
        <f>+G32/I32</f>
        <v>0.74500000000000011</v>
      </c>
      <c r="H46" s="33">
        <f>+H32/I32</f>
        <v>-1.5</v>
      </c>
      <c r="I46" s="27">
        <v>1</v>
      </c>
      <c r="J46" s="28" t="s">
        <v>35</v>
      </c>
      <c r="K46" s="28" t="s">
        <v>35</v>
      </c>
      <c r="L46" s="55"/>
      <c r="M46" s="24">
        <f>I46/C46</f>
        <v>1.8181818181818182E-3</v>
      </c>
      <c r="N46" s="39"/>
    </row>
    <row r="47" spans="1:16">
      <c r="A47" s="53">
        <v>24</v>
      </c>
      <c r="B47" s="24" t="s">
        <v>14</v>
      </c>
      <c r="C47" s="25">
        <f>+C33-(C32*I33)/I32</f>
        <v>125</v>
      </c>
      <c r="D47" s="54"/>
      <c r="E47" s="27">
        <f>+E33-(E32*I33)/I32</f>
        <v>0</v>
      </c>
      <c r="F47" s="27">
        <v>1</v>
      </c>
      <c r="G47" s="27">
        <f>+G33-(G32*I33)/I32</f>
        <v>8.2500000000000018E-2</v>
      </c>
      <c r="H47" s="33">
        <f>+H33-(H32*I33)/I32</f>
        <v>-0.25</v>
      </c>
      <c r="I47" s="27">
        <v>0</v>
      </c>
      <c r="J47" s="28" t="s">
        <v>35</v>
      </c>
      <c r="K47" s="28" t="s">
        <v>35</v>
      </c>
      <c r="L47" s="55"/>
      <c r="M47" s="24">
        <f>I47/C47</f>
        <v>0</v>
      </c>
      <c r="N47" s="39"/>
    </row>
    <row r="48" spans="1:16">
      <c r="A48" s="38"/>
      <c r="H48" s="56"/>
      <c r="N48" s="39"/>
    </row>
    <row r="49" spans="1:14">
      <c r="A49" s="38"/>
      <c r="H49" s="56"/>
      <c r="N49" s="39"/>
    </row>
    <row r="50" spans="1:14">
      <c r="A50" s="45" t="s">
        <v>28</v>
      </c>
      <c r="B50" s="23">
        <f>+C46*A46+C47*A47</f>
        <v>3000</v>
      </c>
      <c r="E50" s="3">
        <f>+E46*$A$46+E47*$A$47-E44</f>
        <v>-3</v>
      </c>
      <c r="F50" s="3">
        <f>+F46*$A$46+F47*$A$47-F44</f>
        <v>0</v>
      </c>
      <c r="G50" s="3">
        <f>+G46*$A$46+G47*$A$47-G44</f>
        <v>0.98000000000000043</v>
      </c>
      <c r="H50" s="34">
        <f>+H46*$A$46+H47*$A$47-H44</f>
        <v>-6</v>
      </c>
      <c r="I50" s="3">
        <f>+I46*$A$46+I47*$A$47-I44</f>
        <v>0</v>
      </c>
      <c r="J50" s="3"/>
      <c r="K50" s="3"/>
      <c r="N50" s="39"/>
    </row>
    <row r="51" spans="1:14">
      <c r="A51" s="38"/>
      <c r="I51" s="52"/>
      <c r="N51" s="39"/>
    </row>
    <row r="52" spans="1:14">
      <c r="A52" s="46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8"/>
    </row>
  </sheetData>
  <mergeCells count="3">
    <mergeCell ref="A13:M13"/>
    <mergeCell ref="A27:N27"/>
    <mergeCell ref="A41:N41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CA330-BF23-4E0F-A40B-FB6314C9BCA0}">
  <dimension ref="A1:G10"/>
  <sheetViews>
    <sheetView tabSelected="1" topLeftCell="G18" zoomScale="130" zoomScaleNormal="130" workbookViewId="0">
      <selection activeCell="S18" sqref="S18"/>
    </sheetView>
  </sheetViews>
  <sheetFormatPr defaultColWidth="11.42578125" defaultRowHeight="14.45"/>
  <sheetData>
    <row r="1" spans="1:7">
      <c r="A1" s="65" t="s">
        <v>42</v>
      </c>
      <c r="B1" s="65"/>
      <c r="C1" s="65"/>
      <c r="D1" s="65"/>
      <c r="E1" s="65"/>
      <c r="F1" s="65"/>
      <c r="G1" s="65"/>
    </row>
    <row r="2" spans="1:7">
      <c r="A2" s="4"/>
      <c r="B2" s="4"/>
      <c r="C2" s="4"/>
      <c r="D2" s="4"/>
      <c r="E2" s="4"/>
    </row>
    <row r="3" spans="1:7">
      <c r="A3" s="4"/>
      <c r="B3" s="4"/>
      <c r="C3" s="4"/>
      <c r="D3" s="4"/>
      <c r="E3" s="4"/>
    </row>
    <row r="4" spans="1:7">
      <c r="A4" s="4"/>
      <c r="B4" s="4"/>
      <c r="C4" s="4"/>
      <c r="D4" s="4"/>
      <c r="E4" s="4"/>
    </row>
    <row r="5" spans="1:7">
      <c r="A5" s="4"/>
      <c r="B5" s="4"/>
      <c r="C5" s="4"/>
      <c r="D5" s="4"/>
      <c r="E5" s="4"/>
    </row>
    <row r="7" spans="1:7">
      <c r="A7" s="58" t="s">
        <v>43</v>
      </c>
    </row>
    <row r="8" spans="1:7">
      <c r="B8" s="59" t="s">
        <v>44</v>
      </c>
    </row>
    <row r="9" spans="1:7">
      <c r="A9" s="58" t="s">
        <v>45</v>
      </c>
    </row>
    <row r="10" spans="1:7">
      <c r="B10" s="59" t="s">
        <v>46</v>
      </c>
    </row>
  </sheetData>
  <mergeCells count="1"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Uriel Villalonga</dc:creator>
  <cp:keywords/>
  <dc:description/>
  <cp:lastModifiedBy>Usuario invitado</cp:lastModifiedBy>
  <cp:revision/>
  <dcterms:created xsi:type="dcterms:W3CDTF">2025-09-20T12:06:00Z</dcterms:created>
  <dcterms:modified xsi:type="dcterms:W3CDTF">2025-09-20T19:06:29Z</dcterms:modified>
  <cp:category/>
  <cp:contentStatus/>
</cp:coreProperties>
</file>