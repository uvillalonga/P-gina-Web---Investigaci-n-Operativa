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nvest Op/Unidad 6/Practica/"/>
    </mc:Choice>
  </mc:AlternateContent>
  <xr:revisionPtr revIDLastSave="191" documentId="8_{F5D71293-8F56-4DB0-BEBF-4AE680004189}" xr6:coauthVersionLast="47" xr6:coauthVersionMax="47" xr10:uidLastSave="{6FDE79E6-6724-45A9-9E0C-39EC8CB45187}"/>
  <bookViews>
    <workbookView xWindow="-108" yWindow="-108" windowWidth="23256" windowHeight="12456" xr2:uid="{8292DE48-F0DA-4EA0-A8E5-731120FB3176}"/>
  </bookViews>
  <sheets>
    <sheet name="Desafio 1" sheetId="1" r:id="rId1"/>
    <sheet name="Desafio 2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H27" i="1"/>
  <c r="I27" i="1"/>
  <c r="J27" i="1"/>
  <c r="K27" i="1"/>
  <c r="C27" i="1"/>
  <c r="M24" i="1"/>
  <c r="M23" i="1"/>
  <c r="M22" i="1"/>
</calcChain>
</file>

<file path=xl/sharedStrings.xml><?xml version="1.0" encoding="utf-8"?>
<sst xmlns="http://schemas.openxmlformats.org/spreadsheetml/2006/main" count="62" uniqueCount="53">
  <si>
    <t>¿qué cantidad de alimentos M y N se deben utilizar diariamente para alimentar al ganado de forma más económica?</t>
  </si>
  <si>
    <r>
      <t xml:space="preserve">Nos proponemos realizar la </t>
    </r>
    <r>
      <rPr>
        <b/>
        <sz val="11"/>
        <color theme="1"/>
        <rFont val="Calibri"/>
        <family val="2"/>
      </rPr>
      <t>alimentación diaria más económica para ganado</t>
    </r>
    <r>
      <rPr>
        <sz val="11"/>
        <color theme="1"/>
        <rFont val="Calibri"/>
        <family val="2"/>
      </rPr>
      <t xml:space="preserve">, que debe contener obligatoriamente </t>
    </r>
    <r>
      <rPr>
        <b/>
        <sz val="11"/>
        <color theme="1"/>
        <rFont val="Calibri"/>
        <family val="2"/>
      </rPr>
      <t>cuatro tipos de componentes nutritivos A, B, C y D.</t>
    </r>
  </si>
  <si>
    <r>
      <t xml:space="preserve">La industria alimenticia produce precisamente </t>
    </r>
    <r>
      <rPr>
        <b/>
        <sz val="11"/>
        <color theme="1"/>
        <rFont val="Calibri"/>
        <family val="2"/>
      </rPr>
      <t>dos alimentos, M y N,</t>
    </r>
    <r>
      <rPr>
        <sz val="11"/>
        <color theme="1"/>
        <rFont val="Calibri"/>
        <family val="2"/>
      </rPr>
      <t xml:space="preserve"> que contienen estos componentes.</t>
    </r>
  </si>
  <si>
    <r>
      <rPr>
        <b/>
        <sz val="11"/>
        <color theme="1"/>
        <rFont val="Calibri"/>
        <family val="2"/>
      </rPr>
      <t>Un kilogramo</t>
    </r>
    <r>
      <rPr>
        <sz val="11"/>
        <color theme="1"/>
        <rFont val="Calibri"/>
        <family val="2"/>
      </rPr>
      <t xml:space="preserve"> de alimento </t>
    </r>
    <r>
      <rPr>
        <b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 xml:space="preserve"> contiene </t>
    </r>
    <r>
      <rPr>
        <b/>
        <sz val="11"/>
        <color theme="1"/>
        <rFont val="Calibri"/>
        <family val="2"/>
      </rPr>
      <t>100gr de A, 100gr de C y 200gr de D</t>
    </r>
    <r>
      <rPr>
        <sz val="11"/>
        <color theme="1"/>
        <rFont val="Calibri"/>
        <family val="2"/>
      </rPr>
      <t xml:space="preserve">; </t>
    </r>
    <r>
      <rPr>
        <b/>
        <sz val="11"/>
        <color theme="1"/>
        <rFont val="Calibri"/>
        <family val="2"/>
      </rPr>
      <t>un kilogramo</t>
    </r>
    <r>
      <rPr>
        <sz val="11"/>
        <color theme="1"/>
        <rFont val="Calibri"/>
        <family val="2"/>
      </rPr>
      <t xml:space="preserve"> de alimento </t>
    </r>
    <r>
      <rPr>
        <b/>
        <sz val="11"/>
        <color theme="1"/>
        <rFont val="Calibri"/>
        <family val="2"/>
      </rPr>
      <t>M</t>
    </r>
    <r>
      <rPr>
        <sz val="11"/>
        <color theme="1"/>
        <rFont val="Calibri"/>
        <family val="2"/>
      </rPr>
      <t xml:space="preserve"> contiene </t>
    </r>
    <r>
      <rPr>
        <b/>
        <sz val="11"/>
        <color theme="1"/>
        <rFont val="Calibri"/>
        <family val="2"/>
      </rPr>
      <t>100gr de B, 200gr de C y 100gr de D.</t>
    </r>
  </si>
  <si>
    <t>Minimizar el siguiente funcional:</t>
  </si>
  <si>
    <r>
      <t>Z = 8x</t>
    </r>
    <r>
      <rPr>
        <vertAlign val="subscript"/>
        <sz val="11"/>
        <color theme="1"/>
        <rFont val="Calibri"/>
        <family val="2"/>
      </rPr>
      <t>11</t>
    </r>
    <r>
      <rPr>
        <sz val="11"/>
        <color theme="1"/>
        <rFont val="Calibri"/>
        <family val="2"/>
      </rPr>
      <t xml:space="preserve"> + 6x</t>
    </r>
    <r>
      <rPr>
        <vertAlign val="subscript"/>
        <sz val="11"/>
        <color theme="1"/>
        <rFont val="Calibri"/>
        <family val="2"/>
      </rPr>
      <t xml:space="preserve">12 </t>
    </r>
    <r>
      <rPr>
        <sz val="11"/>
        <color theme="1"/>
        <rFont val="Calibri"/>
        <family val="2"/>
      </rPr>
      <t>+ 10x</t>
    </r>
    <r>
      <rPr>
        <vertAlign val="sub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 xml:space="preserve"> + 9x</t>
    </r>
    <r>
      <rPr>
        <vertAlign val="subscript"/>
        <sz val="11"/>
        <color theme="1"/>
        <rFont val="Calibri"/>
        <family val="2"/>
      </rPr>
      <t>14</t>
    </r>
    <r>
      <rPr>
        <sz val="11"/>
        <color theme="1"/>
        <rFont val="Calibri"/>
        <family val="2"/>
      </rPr>
      <t xml:space="preserve"> + 9x</t>
    </r>
    <r>
      <rPr>
        <vertAlign val="subscript"/>
        <sz val="11"/>
        <color theme="1"/>
        <rFont val="Calibri"/>
        <family val="2"/>
      </rPr>
      <t>21</t>
    </r>
    <r>
      <rPr>
        <sz val="11"/>
        <color theme="1"/>
        <rFont val="Calibri"/>
        <family val="2"/>
      </rPr>
      <t xml:space="preserve"> + 12x</t>
    </r>
    <r>
      <rPr>
        <vertAlign val="subscript"/>
        <sz val="11"/>
        <color theme="1"/>
        <rFont val="Calibri"/>
        <family val="2"/>
      </rPr>
      <t>22</t>
    </r>
    <r>
      <rPr>
        <sz val="11"/>
        <color theme="1"/>
        <rFont val="Calibri"/>
        <family val="2"/>
      </rPr>
      <t xml:space="preserve"> + 13x</t>
    </r>
    <r>
      <rPr>
        <vertAlign val="subscript"/>
        <sz val="11"/>
        <color theme="1"/>
        <rFont val="Calibri"/>
        <family val="2"/>
      </rPr>
      <t>23</t>
    </r>
    <r>
      <rPr>
        <sz val="11"/>
        <color theme="1"/>
        <rFont val="Calibri"/>
        <family val="2"/>
      </rPr>
      <t xml:space="preserve"> + 7x</t>
    </r>
    <r>
      <rPr>
        <vertAlign val="subscript"/>
        <sz val="11"/>
        <color theme="1"/>
        <rFont val="Calibri"/>
        <family val="2"/>
      </rPr>
      <t>24</t>
    </r>
    <r>
      <rPr>
        <sz val="11"/>
        <color theme="1"/>
        <rFont val="Calibri"/>
        <family val="2"/>
      </rPr>
      <t xml:space="preserve"> + 14x</t>
    </r>
    <r>
      <rPr>
        <vertAlign val="subscript"/>
        <sz val="11"/>
        <color theme="1"/>
        <rFont val="Calibri"/>
        <family val="2"/>
      </rPr>
      <t>31</t>
    </r>
    <r>
      <rPr>
        <sz val="11"/>
        <color theme="1"/>
        <rFont val="Calibri"/>
        <family val="2"/>
      </rPr>
      <t xml:space="preserve"> + 9x</t>
    </r>
    <r>
      <rPr>
        <vertAlign val="subscript"/>
        <sz val="11"/>
        <color theme="1"/>
        <rFont val="Calibri"/>
        <family val="2"/>
      </rPr>
      <t>32</t>
    </r>
    <r>
      <rPr>
        <sz val="11"/>
        <color theme="1"/>
        <rFont val="Calibri"/>
        <family val="2"/>
      </rPr>
      <t xml:space="preserve"> + 16x</t>
    </r>
    <r>
      <rPr>
        <vertAlign val="subscript"/>
        <sz val="11"/>
        <color theme="1"/>
        <rFont val="Calibri"/>
        <family val="2"/>
      </rPr>
      <t>33</t>
    </r>
    <r>
      <rPr>
        <sz val="11"/>
        <color theme="1"/>
        <rFont val="Calibri"/>
        <family val="2"/>
      </rPr>
      <t xml:space="preserve"> + 5x</t>
    </r>
    <r>
      <rPr>
        <vertAlign val="subscript"/>
        <sz val="11"/>
        <color theme="1"/>
        <rFont val="Calibri"/>
        <family val="2"/>
      </rPr>
      <t>34</t>
    </r>
  </si>
  <si>
    <t>Sujeto a:</t>
  </si>
  <si>
    <r>
      <t>R1: x</t>
    </r>
    <r>
      <rPr>
        <vertAlign val="subscript"/>
        <sz val="11"/>
        <color theme="1"/>
        <rFont val="Calibri"/>
        <family val="2"/>
      </rPr>
      <t>11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 xml:space="preserve">12 </t>
    </r>
    <r>
      <rPr>
        <sz val="11"/>
        <color theme="1"/>
        <rFont val="Calibri"/>
        <family val="2"/>
      </rPr>
      <t>+ x</t>
    </r>
    <r>
      <rPr>
        <vertAlign val="sub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14</t>
    </r>
    <r>
      <rPr>
        <sz val="11"/>
        <color theme="1"/>
        <rFont val="Calibri"/>
        <family val="2"/>
      </rPr>
      <t xml:space="preserve"> ≤ 35</t>
    </r>
  </si>
  <si>
    <r>
      <t>R2: x</t>
    </r>
    <r>
      <rPr>
        <vertAlign val="subscript"/>
        <sz val="11"/>
        <color theme="1"/>
        <rFont val="Calibri"/>
        <family val="2"/>
      </rPr>
      <t>21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22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23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24</t>
    </r>
    <r>
      <rPr>
        <sz val="11"/>
        <color theme="1"/>
        <rFont val="Calibri"/>
        <family val="2"/>
      </rPr>
      <t xml:space="preserve"> ≤ 50</t>
    </r>
  </si>
  <si>
    <r>
      <t>R3: x</t>
    </r>
    <r>
      <rPr>
        <vertAlign val="subscript"/>
        <sz val="11"/>
        <color theme="1"/>
        <rFont val="Calibri"/>
        <family val="2"/>
      </rPr>
      <t>31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32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33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34</t>
    </r>
    <r>
      <rPr>
        <sz val="11"/>
        <color theme="1"/>
        <rFont val="Calibri"/>
        <family val="2"/>
      </rPr>
      <t xml:space="preserve"> ≤ 40</t>
    </r>
  </si>
  <si>
    <r>
      <t>R4: x</t>
    </r>
    <r>
      <rPr>
        <vertAlign val="subscript"/>
        <sz val="11"/>
        <color theme="1"/>
        <rFont val="Calibri"/>
        <family val="2"/>
      </rPr>
      <t>11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21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31</t>
    </r>
    <r>
      <rPr>
        <sz val="11"/>
        <color theme="1"/>
        <rFont val="Calibri"/>
        <family val="2"/>
      </rPr>
      <t xml:space="preserve"> ≥ 45</t>
    </r>
  </si>
  <si>
    <r>
      <t>R5: x</t>
    </r>
    <r>
      <rPr>
        <vertAlign val="subscript"/>
        <sz val="11"/>
        <color theme="1"/>
        <rFont val="Calibri"/>
        <family val="2"/>
      </rPr>
      <t>12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22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32</t>
    </r>
    <r>
      <rPr>
        <sz val="11"/>
        <color theme="1"/>
        <rFont val="Calibri"/>
        <family val="2"/>
      </rPr>
      <t xml:space="preserve"> ≥ 20</t>
    </r>
  </si>
  <si>
    <r>
      <t>R6: x</t>
    </r>
    <r>
      <rPr>
        <vertAlign val="sub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23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33</t>
    </r>
    <r>
      <rPr>
        <sz val="11"/>
        <color theme="1"/>
        <rFont val="Calibri"/>
        <family val="2"/>
      </rPr>
      <t xml:space="preserve"> ≥ 30</t>
    </r>
  </si>
  <si>
    <r>
      <t>R7: x</t>
    </r>
    <r>
      <rPr>
        <vertAlign val="subscript"/>
        <sz val="11"/>
        <color theme="1"/>
        <rFont val="Calibri"/>
        <family val="2"/>
      </rPr>
      <t>14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24</t>
    </r>
    <r>
      <rPr>
        <sz val="11"/>
        <color theme="1"/>
        <rFont val="Calibri"/>
        <family val="2"/>
      </rPr>
      <t xml:space="preserve"> + x</t>
    </r>
    <r>
      <rPr>
        <vertAlign val="subscript"/>
        <sz val="11"/>
        <color theme="1"/>
        <rFont val="Calibri"/>
        <family val="2"/>
      </rPr>
      <t>34</t>
    </r>
    <r>
      <rPr>
        <sz val="11"/>
        <color theme="1"/>
        <rFont val="Calibri"/>
        <family val="2"/>
      </rPr>
      <t xml:space="preserve"> ≥ 30</t>
    </r>
  </si>
  <si>
    <t>N</t>
  </si>
  <si>
    <t>A</t>
  </si>
  <si>
    <t>B</t>
  </si>
  <si>
    <t>D</t>
  </si>
  <si>
    <t>C</t>
  </si>
  <si>
    <t>M</t>
  </si>
  <si>
    <t>Componentes (kg)</t>
  </si>
  <si>
    <t>N (kg)</t>
  </si>
  <si>
    <t>M (kg)</t>
  </si>
  <si>
    <t>Capacidad mensual (kg)</t>
  </si>
  <si>
    <t>Precio (UM/kg)</t>
  </si>
  <si>
    <t>z = 4*N  + 10*M</t>
  </si>
  <si>
    <t>FORMA CANONICA</t>
  </si>
  <si>
    <t>FUNCION DE RELACION</t>
  </si>
  <si>
    <t>Representa las variables en juego (N,F,P)</t>
  </si>
  <si>
    <t>max. uso</t>
  </si>
  <si>
    <t>Restricciones max</t>
  </si>
  <si>
    <t>Xk</t>
  </si>
  <si>
    <t>Cj</t>
  </si>
  <si>
    <t>Coheficientes Asociados</t>
  </si>
  <si>
    <t>Ck</t>
  </si>
  <si>
    <t xml:space="preserve">Bk </t>
  </si>
  <si>
    <t>aij</t>
  </si>
  <si>
    <t>θ</t>
  </si>
  <si>
    <t>Bk / aij</t>
  </si>
  <si>
    <t xml:space="preserve">Pivote nos va a ser para maximizar los beneficios </t>
  </si>
  <si>
    <t xml:space="preserve"> Que cant puedo producir sin que haya sobrante de B en este caso por ser la columna pivote</t>
  </si>
  <si>
    <t xml:space="preserve">En caso de q no agarre al menor tita, es probable que en la siguiente iteracion me de negativo el tita </t>
  </si>
  <si>
    <t xml:space="preserve">Z = </t>
  </si>
  <si>
    <t>0,1N + 0*M + 1*A + 0*B + 0*C + 0*D = 0,4</t>
  </si>
  <si>
    <t>0*N + 0,1*M + 0*A + 1*B + 0*C + 0*D =  0,6</t>
  </si>
  <si>
    <t>0,1*N + 0,2*M + 0*A + 0*B + 1*C + 0*D = 2</t>
  </si>
  <si>
    <t xml:space="preserve">0,2*N + 0,1*M + 0*A + 0*B + 0*C + 1*D = 1,7 </t>
  </si>
  <si>
    <t>EJERCICIO DE MINIMIZACION (Buscamos que los alimentos  cumplan los requisitos mínimos de nutrientes)</t>
  </si>
  <si>
    <t>0,1N + 0*M &gt;= 0,4</t>
  </si>
  <si>
    <t>0*N + 0,1*M &gt;= 0,6</t>
  </si>
  <si>
    <t>0,1*N + 0,2*M &gt;= 2</t>
  </si>
  <si>
    <t xml:space="preserve">0,2*N + 0,1*M &gt;= 1,7 </t>
  </si>
  <si>
    <r>
      <t xml:space="preserve">Un animal debe </t>
    </r>
    <r>
      <rPr>
        <sz val="11"/>
        <color rgb="FFFF0000"/>
        <rFont val="Calibri"/>
        <family val="2"/>
      </rPr>
      <t>consumir al menos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0,4kg de A; 0,6Kg de B; 2kg de C y 1,7kg de D</t>
    </r>
    <r>
      <rPr>
        <sz val="11"/>
        <color theme="1"/>
        <rFont val="Calibri"/>
        <family val="2"/>
      </rPr>
      <t>. El alimento</t>
    </r>
    <r>
      <rPr>
        <b/>
        <sz val="11"/>
        <color theme="1"/>
        <rFont val="Calibri"/>
        <family val="2"/>
      </rPr>
      <t xml:space="preserve"> M</t>
    </r>
    <r>
      <rPr>
        <sz val="11"/>
        <color theme="1"/>
        <rFont val="Calibri"/>
        <family val="2"/>
      </rPr>
      <t xml:space="preserve"> cuesta </t>
    </r>
    <r>
      <rPr>
        <b/>
        <sz val="11"/>
        <color theme="1"/>
        <rFont val="Calibri"/>
        <family val="2"/>
      </rPr>
      <t>10 UM/kg</t>
    </r>
    <r>
      <rPr>
        <sz val="11"/>
        <color theme="1"/>
        <rFont val="Calibri"/>
        <family val="2"/>
      </rPr>
      <t xml:space="preserve"> y el </t>
    </r>
    <r>
      <rPr>
        <b/>
        <sz val="11"/>
        <color theme="1"/>
        <rFont val="Calibri"/>
        <family val="2"/>
      </rPr>
      <t>N 4 UM/kg.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</si>
</sst>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8"/>
      <name val="Calibri"/>
      <family val="2"/>
    </font>
    <font>
      <vertAlign val="subscript"/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7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customXml" Target="../ink/ink3.xml"/><Relationship Id="rId15" Type="http://schemas.openxmlformats.org/officeDocument/2006/relationships/image" Target="../media/image9.png"/><Relationship Id="rId10" Type="http://schemas.openxmlformats.org/officeDocument/2006/relationships/customXml" Target="../ink/ink5.xml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395040</xdr:colOff>
      <xdr:row>9</xdr:row>
      <xdr:rowOff>38160</xdr:rowOff>
    </xdr:from>
    <xdr:to>
      <xdr:col>6</xdr:col>
      <xdr:colOff>588360</xdr:colOff>
      <xdr:row>12</xdr:row>
      <xdr:rowOff>154440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F15862D3-A700-46A6-AB85-FC2AB30C397B}"/>
                </a:ext>
              </a:extLst>
            </xdr14:cNvPr>
            <xdr14:cNvContentPartPr/>
          </xdr14:nvContentPartPr>
          <xdr14:nvPr macro=""/>
          <xdr14:xfrm>
            <a:off x="7420680" y="1684080"/>
            <a:ext cx="193320" cy="66492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F15862D3-A700-46A6-AB85-FC2AB30C39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14560" y="1677960"/>
              <a:ext cx="205560" cy="67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428880</xdr:colOff>
      <xdr:row>7</xdr:row>
      <xdr:rowOff>45720</xdr:rowOff>
    </xdr:from>
    <xdr:to>
      <xdr:col>6</xdr:col>
      <xdr:colOff>460200</xdr:colOff>
      <xdr:row>8</xdr:row>
      <xdr:rowOff>1800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608152C3-322E-CF3D-D1E2-F01788C60988}"/>
                </a:ext>
              </a:extLst>
            </xdr14:cNvPr>
            <xdr14:cNvContentPartPr/>
          </xdr14:nvContentPartPr>
          <xdr14:nvPr macro=""/>
          <xdr14:xfrm>
            <a:off x="7454520" y="1325880"/>
            <a:ext cx="31320" cy="138960"/>
          </xdr14:xfrm>
        </xdr:contentPart>
      </mc:Choice>
      <mc:Fallback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608152C3-322E-CF3D-D1E2-F01788C6098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48400" y="1319760"/>
              <a:ext cx="4356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399720</xdr:colOff>
      <xdr:row>18</xdr:row>
      <xdr:rowOff>125280</xdr:rowOff>
    </xdr:from>
    <xdr:to>
      <xdr:col>2</xdr:col>
      <xdr:colOff>471000</xdr:colOff>
      <xdr:row>20</xdr:row>
      <xdr:rowOff>38520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937D3112-6A0C-4493-99BD-0165284E90D4}"/>
                </a:ext>
              </a:extLst>
            </xdr14:cNvPr>
            <xdr14:cNvContentPartPr/>
          </xdr14:nvContentPartPr>
          <xdr14:nvPr macro=""/>
          <xdr14:xfrm>
            <a:off x="2076120" y="3600000"/>
            <a:ext cx="71280" cy="27900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02150C49-471C-B87B-4EE7-7BD8BF8238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0000" y="3593880"/>
              <a:ext cx="8352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479880</xdr:colOff>
      <xdr:row>19</xdr:row>
      <xdr:rowOff>69120</xdr:rowOff>
    </xdr:from>
    <xdr:to>
      <xdr:col>3</xdr:col>
      <xdr:colOff>715320</xdr:colOff>
      <xdr:row>19</xdr:row>
      <xdr:rowOff>167760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C13BD988-A674-428D-B3E9-3E03FA59761E}"/>
                </a:ext>
              </a:extLst>
            </xdr14:cNvPr>
            <xdr14:cNvContentPartPr/>
          </xdr14:nvContentPartPr>
          <xdr14:nvPr macro=""/>
          <xdr14:xfrm>
            <a:off x="2948760" y="3726720"/>
            <a:ext cx="235440" cy="9864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9A22CEF5-E21F-F513-DB34-D6795BB02A7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42640" y="3720600"/>
              <a:ext cx="24768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25</xdr:row>
      <xdr:rowOff>76200</xdr:rowOff>
    </xdr:from>
    <xdr:to>
      <xdr:col>0</xdr:col>
      <xdr:colOff>896856</xdr:colOff>
      <xdr:row>27</xdr:row>
      <xdr:rowOff>45720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83FF2F-5B0A-4E74-B919-6B164520C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648200"/>
          <a:ext cx="896856" cy="335280"/>
        </a:xfrm>
        <a:prstGeom prst="rect">
          <a:avLst/>
        </a:prstGeom>
      </xdr:spPr>
    </xdr:pic>
    <xdr:clientData/>
  </xdr:twoCellAnchor>
  <xdr:twoCellAnchor editAs="oneCell">
    <xdr:from>
      <xdr:col>1</xdr:col>
      <xdr:colOff>341520</xdr:colOff>
      <xdr:row>19</xdr:row>
      <xdr:rowOff>70560</xdr:rowOff>
    </xdr:from>
    <xdr:to>
      <xdr:col>1</xdr:col>
      <xdr:colOff>457440</xdr:colOff>
      <xdr:row>19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5838B750-A908-4D47-A8FE-133DA2EF5826}"/>
                </a:ext>
              </a:extLst>
            </xdr14:cNvPr>
            <xdr14:cNvContentPartPr/>
          </xdr14:nvContentPartPr>
          <xdr14:nvPr macro=""/>
          <xdr14:xfrm>
            <a:off x="1134000" y="3728160"/>
            <a:ext cx="115920" cy="8964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C5FCA34A-7A7F-6E90-B7F0-0ABB0D50E0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27880" y="3722040"/>
              <a:ext cx="12816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106681</xdr:colOff>
      <xdr:row>25</xdr:row>
      <xdr:rowOff>106680</xdr:rowOff>
    </xdr:from>
    <xdr:to>
      <xdr:col>12</xdr:col>
      <xdr:colOff>529135</xdr:colOff>
      <xdr:row>27</xdr:row>
      <xdr:rowOff>60960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3724CF0-A6E8-481C-8C25-8033764F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91801" y="4678680"/>
          <a:ext cx="1214934" cy="320040"/>
        </a:xfrm>
        <a:prstGeom prst="rect">
          <a:avLst/>
        </a:prstGeom>
      </xdr:spPr>
    </xdr:pic>
    <xdr:clientData/>
  </xdr:twoCellAnchor>
  <xdr:twoCellAnchor editAs="oneCell">
    <xdr:from>
      <xdr:col>13</xdr:col>
      <xdr:colOff>121680</xdr:colOff>
      <xdr:row>21</xdr:row>
      <xdr:rowOff>53280</xdr:rowOff>
    </xdr:from>
    <xdr:to>
      <xdr:col>13</xdr:col>
      <xdr:colOff>293760</xdr:colOff>
      <xdr:row>22</xdr:row>
      <xdr:rowOff>111600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5D1949F0-A19D-4DF3-BD6F-C7C5C931ADAE}"/>
                </a:ext>
              </a:extLst>
            </xdr14:cNvPr>
            <xdr14:cNvContentPartPr/>
          </xdr14:nvContentPartPr>
          <xdr14:nvPr macro=""/>
          <xdr14:xfrm>
            <a:off x="12222240" y="4076640"/>
            <a:ext cx="172080" cy="24120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B4C2A1E1-49F0-EC9B-6761-D071B954096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216120" y="4070520"/>
              <a:ext cx="184320" cy="253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01:19:17.35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131 0 24575,'2'0'0,"1"1"0,-1-1 0,1 0 0,-1 1 0,1-1 0,0 1 0,-1 0 0,0 0 0,1 0 0,-1 0 0,0 0 0,1 1 0,-1-1 0,0 1 0,0-1 0,0 1 0,0 0 0,0 0 0,-1 0 0,1 0 0,0 0 0,-1 0 0,1 0 0,-1 0 0,0 1 0,0-1 0,0 1 0,0-1 0,0 1 0,-1-1 0,1 4 0,2 9 0,-1 0 0,-1 1 0,0-1 0,-2 19 0,1-17 0,-2 79 0,2 230 0,3-299 0,1 1 0,1-1 0,1 0 0,1-1 0,2 1 0,1-1 0,1-1 0,17 30 0,-18-37 0,1 0 0,1-1 0,0 0 0,1-1 0,1 0 0,1-1 0,0-1 0,1 0 0,0-1 0,1-1 0,1-1 0,20 11 0,-34-20 0,1-1 0,-1 1 0,1-1 0,0 0 0,0 0 0,6 0 0,-11-1 0,1 1 0,-1-1 0,1 0 0,0-1 0,-1 1 0,1 0 0,-1 0 0,1 0 0,0 0 0,-1 0 0,1 0 0,-1-1 0,1 1 0,-1 0 0,1-1 0,0 1 0,-1 0 0,0-1 0,1 1 0,-1 0 0,2-2 0,-2 1 0,0 1 0,0-1 0,0 0 0,0 0 0,0 0 0,0 0 0,0 0 0,0 1 0,0-1 0,0 0 0,0 0 0,0 0 0,-1 0 0,1 1 0,0-1 0,-1 0 0,1 0 0,-1 0 0,1 1 0,-2-2 0,-2-4 0,0 1 0,0 0 0,-1 0 0,0 0 0,0 1 0,-1 0 0,1 0 0,-1 0 0,0 0 0,0 1 0,0 0 0,0 1 0,-1-1 0,-7-1 0,5 1 0,0 1 0,-1 0 0,1 0 0,-1 1 0,0 0 0,1 1 0,-1 0 0,0 0 0,-13 3 0,16-1 0,1-1 0,0 2 0,-1-1 0,1 1 0,0 0 0,1 0 0,-1 0 0,0 1 0,1 0 0,0 0 0,0 0 0,0 1 0,-7 8 0,6-5 0,0 1 0,1 0 0,0 1 0,0-1 0,1 1 0,0 0 0,-4 19 0,2 2 0,2 0 0,1 0 0,1 1 0,4 54 0,22 81 0,-16-123 0,-1 0 0,-2 0 0,-2 63 0,-3-101 0,0 0 0,-1-1 0,0 1 0,0 0 0,0-1 0,-1 0 0,0 1 0,0-1 0,0 0 0,-1 0 0,1 0 0,-5 5 0,5-7 0,-1 0 0,0-1 0,0 1 0,0-1 0,0 1 0,0-1 0,0 0 0,-1-1 0,1 1 0,-1 0 0,1-1 0,-1 0 0,0 0 0,1 0 0,-1 0 0,0-1 0,0 1 0,0-1 0,-3 0 0,-10-1-252,1-1 0,-1 0-1,1-2 1,-26-8 0,41 12 148,-31-10-6722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01:19:18.88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16 0 24575,'14'4'0,"-15"8"0,-2-2 0,-1 7 0,1 1 0,1-1 0,0 33 0,1-45 0,1 0 0,1 1 0,-1-1 0,1 0 0,0 0 0,0 0 0,1 0 0,-1 0 0,1 0 0,0 0 0,1 0 0,-1-1 0,1 1 0,0-1 0,0 1 0,0-1 0,6 5 0,14-1 0,-22-7 0,-1-1 0,0 0 0,1 0 0,-1 0 0,0 0 0,1 0 0,-1 0 0,1 0 0,-1 0 0,0 0 0,1 0 0,-1 0 0,1 0 0,-1 0 0,0 0 0,1 0 0,-1 0 0,1-1 0,-1 1 0,0 0 0,1 0 0,-1 0 0,0-1 0,1 1 0,-1 0 0,0 0 0,1-1 0,-1 1 0,0 0 0,0-1 0,1 1 0,-1 0 0,0-1 0,0 1 0,0 0 0,0-1 0,1 1 0,-1-1 0,0 1 0,0 0 0,0-1 0,0 1 0,0-1 0,0 1 0,0 0 0,0-1 0,0 1 0,0-1 0,0 1 0,0 0 0,0-1 0,0 1 0,-1-1 0,1 0 0,-6 38 0,6-7 0,1-21 0,-1 1 0,0 0 0,-1 0 0,-3 14 0,4-22 0,-1 0 0,0 0 0,1 0 0,-1 0 0,0 0 0,0-1 0,0 1 0,0 0 0,0 0 0,-1 0 0,1-1 0,-1 1 0,1-1 0,-1 1 0,1-1 0,-1 0 0,0 0 0,0 1 0,1-1 0,-1 0 0,0 0 0,0-1 0,0 1 0,0 0 0,-3 0 0,-14 1-1365,2-1-5461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01:20:46.6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97 774 24575,'0'-679'0,"0"669"0,1 1 0,1-1 0,3-13 0,2-12 0,-7 35 0,0-1 0,1 1 0,-1 0 0,0 0 0,0 0 0,0-1 0,0 1 0,0 0 0,0 0 0,0-1 0,0 1 0,0 0 0,0 0 0,0-1 0,0 1 0,0 0 0,0 0 0,0 0 0,-1-1 0,1 1 0,0 0 0,0 0 0,0 0 0,0-1 0,0 1 0,0 0 0,0 0 0,-1 0 0,1 0 0,0-1 0,0 1 0,0 0 0,-1 0 0,1 0 0,0 0 0,0 0 0,0 0 0,-1-1 0,1 1 0,-10 5 0,-9 13 0,3 2 0,4-6 0,1 0 0,0 1 0,-15 31 0,25-46 0,1 1 0,0 0 0,-1-1 0,1 1 0,0 0 0,-1 0 0,1-1 0,0 1 0,0 0 0,-1 0 0,1-1 0,0 1 0,0 0 0,0 0 0,0-1 0,0 1 0,0 0 0,0 0 0,1 0 0,-1-1 0,0 1 0,0 0 0,1 0 0,-1-1 0,0 1 0,1 0 0,-1-1 0,0 1 0,1 0 0,-1-1 0,1 1 0,0-1 0,-1 1 0,1-1 0,-1 1 0,1-1 0,0 1 0,-1-1 0,1 1 0,0-1 0,-1 0 0,1 0 0,0 1 0,0-1 0,-1 0 0,1 0 0,0 0 0,0 0 0,-1 1 0,1-1 0,0 0 0,0-1 0,1 1 0,2 0 0,1 0 0,-1 0 0,1-1 0,-1 0 0,1 0 0,-1 0 0,0 0 0,6-3 0,-5 1 0,-1 0 0,1-1 0,0 0 0,-1 0 0,0 0 0,0 0 0,0-1 0,0 1 0,-1-1 0,0 0 0,0 0 0,0 0 0,3-8 0,3-6 0,-9 19 0,1 0 0,-1 0 0,0-1 0,0 1 0,0 0 0,0 0 0,1 0 0,-1-1 0,0 1 0,0 0 0,0 0 0,1 0 0,-1 0 0,0-1 0,0 1 0,1 0 0,-1 0 0,0 0 0,0 0 0,1 0 0,-1 0 0,0 0 0,0 0 0,1 0 0,-1 0 0,0 0 0,0 0 0,1 0 0,-1 0 0,0 0 0,0 0 0,1 0 0,-1 0 0,0 0 0,0 1 0,1-1 0,-1 0 0,0 0 0,0 0 0,0 0 0,1 0 0,-1 1 0,0-1 0,0 0 0,0 0 0,1 0 0,-1 1 0,0-1 0,0 0 0,0 0 0,0 1 0,0-1 0,0 0 0,0 0 0,0 1 0,1-1 0,9 20 0,-7-15 0,29 59-1365,-25-44-5461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01:20:46.6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1 273 24575,'29'-1'0,"0"-2"0,0-2 0,0 0 0,0-2 0,-1-1 0,48-21 0,-63 23 0,0-1 0,0 0 0,-1-1 0,0-1 0,0 0 0,-1 0 0,0-1 0,-1-1 0,0 0 0,-1 0 0,10-14 0,7 1 0,1 2 0,-26 21 0,0 0 0,0 0 0,0-1 0,0 1 0,0 0 0,-1 0 0,1 0 0,0-1 0,-1 1 0,1 0 0,-1-1 0,1 1 0,-1 0 0,0-1 0,0 1 0,1 0 0,-1-1 0,0-1 0,-1 1 0,1 1 0,0 0 0,-1 0 0,1 0 0,-1 0 0,0 0 0,1 0 0,-1 0 0,0 1 0,1-1 0,-1 0 0,0 0 0,0 0 0,0 1 0,0-1 0,0 0 0,0 1 0,0-1 0,0 1 0,0-1 0,0 1 0,0-1 0,0 1 0,0 0 0,0 0 0,0-1 0,-1 1 0,1 0 0,0 0 0,0 0 0,0 0 0,0 1 0,0-1 0,-1 0 0,1 0 0,0 1 0,-2 0 0,-48 14 0,44-12 0,-111 31 0,118-34 0,0 0 0,0 0 0,0 0 0,0 0 0,0 0 0,0 0 0,1 0 0,-1 0 0,0 0 0,0 0 0,0 1 0,0-1 0,0 0 0,0 0 0,0 0 0,0 0 0,0 0 0,0 0 0,0 0 0,0 0 0,0 0 0,1 0 0,-1 0 0,0 0 0,0 0 0,0 1 0,0-1 0,0 0 0,0 0 0,0 0 0,0 0 0,0 0 0,0 0 0,0 0 0,0 0 0,0 0 0,0 1 0,0-1 0,0 0 0,0 0 0,0 0 0,0 0 0,0 0 0,0 0 0,0 0 0,0 0 0,0 0 0,-1 0 0,1 1 0,0-1 0,0 0 0,0 0 0,0 0 0,18 3 0,22-1 0,24-3 0,92-12 0,-154 12 0,1 0 0,-1 1 0,0 0 0,1 0 0,-1-1 0,1 2 0,-1-1 0,0 0 0,1 0 0,-1 1 0,1-1 0,-1 1 0,0 0 0,0-1 0,1 1 0,-1 0 0,0 1 0,3 1 0,-1 1 0,-1-1 0,0 1 0,0 0 0,-1 1 0,1-1 0,-1 0 0,3 8 0,-1-3 0,-3-6-85,1-1 0,-1 1-1,1-1 1,0 1 0,-1-1-1,1 1 1,0-1 0,0 0-1,1 0 1,-1 0 0,0 0-1,1 0 1,-1 0 0,1-1-1,5 3 1,6 1-6741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01:20:46.6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258 248 24575,'-1'-5'0,"-1"0"0,1 0 0,-1 0 0,1 0 0,-1 1 0,-1-1 0,1 0 0,-1 1 0,0 0 0,-5-7 0,-10-17 0,11 12 0,4 8 0,-1-1 0,1 1 0,-2 1 0,1-1 0,-1 0 0,0 1 0,-1 0 0,0 0 0,-10-9 0,15 16 0,0-1 0,0 0 0,0 1 0,-1-1 0,1 1 0,0 0 0,0-1 0,-1 1 0,1 0 0,0 0 0,0 0 0,-1 0 0,1 0 0,0 0 0,0 0 0,-1 0 0,1 1 0,0-1 0,0 0 0,0 1 0,-1-1 0,1 1 0,0-1 0,0 1 0,0-1 0,0 1 0,0 0 0,0 0 0,0 0 0,0-1 0,0 1 0,-1 2 0,1-2 0,1-1 0,-1 0 0,1 0 0,0 0 0,0-1 0,0 1 0,-1 0 0,1 0 0,0 0 0,0 0 0,0-1 0,-1 1 0,1 0 0,0 0 0,0 0 0,0-1 0,0 1 0,0 0 0,-1 0 0,1-1 0,0 1 0,0 0 0,0 0 0,0-1 0,0 1 0,0 0 0,0 0 0,0-1 0,0 1 0,0 0 0,0 0 0,0-1 0,0 1 0,0 0 0,0-1 0,0 1 0,1 0 0,-1 0 0,0 0 0,0-1 0,0 1 0,0 0 0,0 0 0,1-1 0,3-16 0,-2 15 0,0 0 0,0-1 0,0 1 0,0 0 0,1 1 0,-1-1 0,1 0 0,-1 1 0,1-1 0,0 1 0,-1 0 0,1 0 0,0 0 0,0 0 0,0 0 0,0 1 0,0-1 0,0 1 0,0 0 0,0 0 0,0 0 0,0 0 0,5 1 0,2 0 0,0 1 0,0 0 0,0 1 0,-1 0 0,16 7 0,-16-6 0,1 1 0,-2 0 0,1 1 0,0 0 0,13 12 0,-20-12 0,-10-5 0,-13-5 0,21 4 0,-41-10 0,1-1 0,0-2 0,-57-28 0,95 40 0,0-1 0,0 1 0,-1 0 0,1 0 0,0 0 0,0 0 0,-1 1 0,1-1 0,-1 1 0,1-1 0,0 1 0,-1 0 0,1 0 0,-1 0 0,1 0 0,-1 0 0,1 0 0,0 1 0,-1-1 0,-3 2 0,4 0 0,0 0 0,0 0 0,0 0 0,1-1 0,-1 1 0,1 1 0,-1-1 0,1 0 0,0 0 0,0 0 0,0 1 0,0-1 0,1 0 0,-1 1 0,0-1 0,1 1 0,0-1 0,0 1 0,-1-1 0,2 4 0,-2 37-1365,2-24-5461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0T01:20:46.6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24575,'4'2'0,"1"0"0,-1 1 0,1-1 0,-1 1 0,0 0 0,0 0 0,6 6 0,-1-2 0,1 0 0,0 1 0,-1 0 0,0 1 0,-1 0 0,1 0 0,-2 1 0,1 0 0,-1 1 0,-1-1 0,0 1 0,-1 0 0,0 1 0,6 20 0,0 4 0,-2 1 0,4 38 0,-11-62 0,1 0 0,0 0 0,1-1 0,0 1 0,1-1 0,0 0 0,1 0 0,0-1 0,11 15 0,6 4 0,52 53 0,-42-58 0,-29-22 0,0-1 0,0 1 0,0 0 0,0-1 0,0 2 0,-1-1 0,1 0 0,-1 1 0,0 0 0,5 7 0,-8-10 0,0-1 0,0 0 0,0 1 0,0-1 0,1 1 0,-1-1 0,0 0 0,0 1 0,0-1 0,0 1 0,-1-1 0,1 0 0,0 1 0,0-1 0,0 1 0,0-1 0,0 0 0,0 1 0,0-1 0,-1 0 0,1 1 0,0-1 0,0 0 0,-1 1 0,1-1 0,0 0 0,0 1 0,-1-1 0,1 0 0,0 0 0,-1 1 0,1-1 0,0 0 0,-1 0 0,1 0 0,0 0 0,-1 1 0,1-1 0,-1 0 0,1 0 0,0 0 0,-1 0 0,1 0 0,-1 0 0,1 0 0,0 0 0,-1 0 0,1 0 0,-1 0 0,1 0 0,0 0 0,-1-1 0,1 1 0,0 0 0,-1 0 0,-26-4 0,-165-59 0,165 58 0,37 11 0,45 12 0,131 27 0,-185-45 0,0 0 0,0 0 0,0 0 0,0 1 0,0-1 0,1-1 0,-1 1 0,0 0 0,0 0 0,0 0 0,0-1 0,0 1 0,0 0 0,0-1 0,0 1 0,0-1 0,0 1 0,0-1 0,0 0 0,0 1 0,0-1 0,-1 0 0,1 1 0,0-1 0,0 0 0,-1 0 0,1 0 0,-1 0 0,1 0 0,-1 0 0,1 0 0,-1 0 0,1 0 0,-1 0 0,0 0 0,0 0 0,1 0 0,-1 0 0,0-2 0,1-7 0,0 0 0,-1 1 0,0-17 0,-1 16 0,1-3-104,-1 6 13,0-1 1,1 0 0,0 0 0,0 0 0,1 1 0,0-1 0,1 0 0,0 1 0,0-1 0,0 1 0,1-1 0,0 1 0,5-9 0,-1 6-6736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7B7135-ABC8-402A-994D-804C5FE8A7C7}" name="Tabla2" displayName="Tabla2" ref="A7:D12" totalsRowShown="0" headerRowDxfId="1" dataDxfId="0">
  <autoFilter ref="A7:D12" xr:uid="{8A7B7135-ABC8-402A-994D-804C5FE8A7C7}"/>
  <tableColumns count="4">
    <tableColumn id="1" xr3:uid="{88089D3C-6E07-4157-9ED3-E19B2C45678C}" name="Componentes (kg)" dataDxfId="5"/>
    <tableColumn id="2" xr3:uid="{E0604399-0FE2-434C-A75F-B3067C1A95BF}" name="N (kg)" dataDxfId="4"/>
    <tableColumn id="3" xr3:uid="{AD5F5012-C038-4448-8434-09C203567A5D}" name="M (kg)" dataDxfId="3"/>
    <tableColumn id="4" xr3:uid="{43515673-57C3-44CE-88DE-176A09EF0AAD}" name="Capacidad mensual (kg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3692-E0E5-4669-8C9F-B468777A2591}">
  <dimension ref="A1:O27"/>
  <sheetViews>
    <sheetView tabSelected="1" topLeftCell="A4" zoomScale="85" zoomScaleNormal="85" workbookViewId="0">
      <selection activeCell="G21" sqref="G21"/>
    </sheetView>
  </sheetViews>
  <sheetFormatPr baseColWidth="10" defaultRowHeight="14.4" x14ac:dyDescent="0.3"/>
  <cols>
    <col min="1" max="1" width="20.33203125" customWidth="1"/>
    <col min="4" max="4" width="24.44140625" customWidth="1"/>
    <col min="5" max="5" width="20.6640625" bestFit="1" customWidth="1"/>
    <col min="6" max="6" width="13.88671875" customWidth="1"/>
    <col min="8" max="8" width="10.88671875" customWidth="1"/>
  </cols>
  <sheetData>
    <row r="1" spans="1:11" x14ac:dyDescent="0.3">
      <c r="A1" s="1" t="s">
        <v>1</v>
      </c>
    </row>
    <row r="2" spans="1:11" x14ac:dyDescent="0.3">
      <c r="A2" s="1" t="s">
        <v>2</v>
      </c>
    </row>
    <row r="3" spans="1:11" x14ac:dyDescent="0.3">
      <c r="A3" s="1" t="s">
        <v>3</v>
      </c>
    </row>
    <row r="4" spans="1:11" x14ac:dyDescent="0.3">
      <c r="A4" s="1" t="s">
        <v>52</v>
      </c>
    </row>
    <row r="5" spans="1:11" x14ac:dyDescent="0.3">
      <c r="A5" s="2" t="s">
        <v>0</v>
      </c>
      <c r="B5" s="3"/>
      <c r="C5" s="3"/>
      <c r="D5" s="3"/>
      <c r="E5" s="3"/>
      <c r="F5" s="3"/>
      <c r="G5" s="3"/>
      <c r="H5" s="3"/>
      <c r="I5" s="3"/>
      <c r="K5" t="s">
        <v>47</v>
      </c>
    </row>
    <row r="7" spans="1:11" x14ac:dyDescent="0.3">
      <c r="A7" s="5" t="s">
        <v>20</v>
      </c>
      <c r="B7" s="5" t="s">
        <v>21</v>
      </c>
      <c r="C7" s="5" t="s">
        <v>22</v>
      </c>
      <c r="D7" s="5" t="s">
        <v>23</v>
      </c>
    </row>
    <row r="8" spans="1:11" x14ac:dyDescent="0.3">
      <c r="A8" s="5" t="s">
        <v>15</v>
      </c>
      <c r="B8" s="5">
        <v>0.1</v>
      </c>
      <c r="C8" s="5">
        <v>0</v>
      </c>
      <c r="D8" s="5">
        <v>0.4</v>
      </c>
      <c r="F8" t="s">
        <v>25</v>
      </c>
      <c r="H8" s="11" t="s">
        <v>27</v>
      </c>
      <c r="I8" s="11"/>
    </row>
    <row r="9" spans="1:11" x14ac:dyDescent="0.3">
      <c r="A9" s="5" t="s">
        <v>16</v>
      </c>
      <c r="B9" s="5">
        <v>0</v>
      </c>
      <c r="C9" s="5">
        <v>0.1</v>
      </c>
      <c r="D9" s="5">
        <v>0.6</v>
      </c>
    </row>
    <row r="10" spans="1:11" x14ac:dyDescent="0.3">
      <c r="A10" s="5" t="s">
        <v>18</v>
      </c>
      <c r="B10" s="5">
        <v>0.1</v>
      </c>
      <c r="C10" s="5">
        <v>0.2</v>
      </c>
      <c r="D10" s="5">
        <v>2</v>
      </c>
      <c r="F10" t="s">
        <v>48</v>
      </c>
      <c r="K10" t="s">
        <v>43</v>
      </c>
    </row>
    <row r="11" spans="1:11" x14ac:dyDescent="0.3">
      <c r="A11" s="5" t="s">
        <v>17</v>
      </c>
      <c r="B11" s="5">
        <v>0.2</v>
      </c>
      <c r="C11" s="5">
        <v>0.1</v>
      </c>
      <c r="D11" s="5">
        <v>1.7</v>
      </c>
      <c r="F11" t="s">
        <v>49</v>
      </c>
      <c r="H11" s="11" t="s">
        <v>26</v>
      </c>
      <c r="I11" s="11"/>
      <c r="K11" t="s">
        <v>44</v>
      </c>
    </row>
    <row r="12" spans="1:11" x14ac:dyDescent="0.3">
      <c r="A12" s="5" t="s">
        <v>24</v>
      </c>
      <c r="B12" s="5">
        <v>4</v>
      </c>
      <c r="C12" s="5">
        <v>10</v>
      </c>
      <c r="D12" s="5"/>
      <c r="F12" t="s">
        <v>50</v>
      </c>
      <c r="K12" t="s">
        <v>45</v>
      </c>
    </row>
    <row r="13" spans="1:11" x14ac:dyDescent="0.3">
      <c r="F13" t="s">
        <v>51</v>
      </c>
      <c r="K13" t="s">
        <v>46</v>
      </c>
    </row>
    <row r="18" spans="2:15" x14ac:dyDescent="0.3">
      <c r="B18" t="s">
        <v>28</v>
      </c>
    </row>
    <row r="19" spans="2:15" x14ac:dyDescent="0.3">
      <c r="B19" t="s">
        <v>29</v>
      </c>
      <c r="D19" t="s">
        <v>30</v>
      </c>
      <c r="E19" s="4" t="s">
        <v>31</v>
      </c>
      <c r="F19" s="10" t="s">
        <v>14</v>
      </c>
      <c r="G19" s="10" t="s">
        <v>19</v>
      </c>
      <c r="H19" s="10" t="s">
        <v>15</v>
      </c>
      <c r="I19" s="10" t="s">
        <v>16</v>
      </c>
      <c r="J19" s="10" t="s">
        <v>18</v>
      </c>
      <c r="K19" s="10" t="s">
        <v>17</v>
      </c>
      <c r="L19" s="12"/>
      <c r="M19" s="12"/>
    </row>
    <row r="20" spans="2:15" x14ac:dyDescent="0.3">
      <c r="E20" s="4" t="s">
        <v>32</v>
      </c>
      <c r="F20" s="10">
        <v>4</v>
      </c>
      <c r="G20" s="10">
        <v>10</v>
      </c>
      <c r="H20" s="10">
        <v>0</v>
      </c>
      <c r="I20" s="10">
        <v>0</v>
      </c>
      <c r="J20" s="10">
        <v>0</v>
      </c>
      <c r="K20" s="10">
        <v>0</v>
      </c>
      <c r="L20" s="12" t="s">
        <v>33</v>
      </c>
      <c r="M20" s="12"/>
    </row>
    <row r="21" spans="2:15" x14ac:dyDescent="0.3">
      <c r="B21" s="7" t="s">
        <v>34</v>
      </c>
      <c r="C21" s="7" t="s">
        <v>31</v>
      </c>
      <c r="D21" s="7" t="s">
        <v>35</v>
      </c>
      <c r="F21" s="13" t="s">
        <v>36</v>
      </c>
      <c r="G21" s="13"/>
      <c r="H21" s="13"/>
      <c r="I21" s="13"/>
      <c r="J21" s="13"/>
      <c r="K21" s="13"/>
      <c r="L21" s="12"/>
      <c r="M21" s="14" t="s">
        <v>37</v>
      </c>
      <c r="N21" t="s">
        <v>38</v>
      </c>
      <c r="O21" t="s">
        <v>39</v>
      </c>
    </row>
    <row r="22" spans="2:15" x14ac:dyDescent="0.3">
      <c r="B22" s="6">
        <v>0</v>
      </c>
      <c r="C22" s="6" t="s">
        <v>15</v>
      </c>
      <c r="D22" s="15">
        <v>0.4</v>
      </c>
      <c r="F22" s="10">
        <v>0.1</v>
      </c>
      <c r="G22" s="8">
        <v>0</v>
      </c>
      <c r="H22" s="10">
        <v>1</v>
      </c>
      <c r="I22" s="10">
        <v>0</v>
      </c>
      <c r="J22" s="10">
        <v>0</v>
      </c>
      <c r="K22" s="10">
        <v>0</v>
      </c>
      <c r="L22" s="12"/>
      <c r="M22" s="10" t="e">
        <f>+D22/G22</f>
        <v>#DIV/0!</v>
      </c>
    </row>
    <row r="23" spans="2:15" x14ac:dyDescent="0.3">
      <c r="B23" s="6">
        <v>0</v>
      </c>
      <c r="C23" s="6" t="s">
        <v>16</v>
      </c>
      <c r="D23" s="15">
        <v>0.6</v>
      </c>
      <c r="F23" s="10">
        <v>0</v>
      </c>
      <c r="G23" s="8">
        <v>0.1</v>
      </c>
      <c r="H23" s="10">
        <v>0</v>
      </c>
      <c r="I23" s="10">
        <v>1</v>
      </c>
      <c r="J23" s="10">
        <v>0</v>
      </c>
      <c r="K23" s="10">
        <v>0</v>
      </c>
      <c r="L23" s="12"/>
      <c r="M23" s="10">
        <f>+D23/G23</f>
        <v>5.9999999999999991</v>
      </c>
    </row>
    <row r="24" spans="2:15" x14ac:dyDescent="0.3">
      <c r="B24" s="6">
        <v>0</v>
      </c>
      <c r="C24" s="6" t="s">
        <v>18</v>
      </c>
      <c r="D24" s="15">
        <v>2</v>
      </c>
      <c r="F24" s="10">
        <v>0.1</v>
      </c>
      <c r="G24" s="8">
        <v>0.2</v>
      </c>
      <c r="H24" s="10">
        <v>0</v>
      </c>
      <c r="I24" s="10">
        <v>0</v>
      </c>
      <c r="J24" s="10">
        <v>1</v>
      </c>
      <c r="K24" s="10">
        <v>0</v>
      </c>
      <c r="L24" s="12"/>
      <c r="M24" s="10">
        <f>+D24/G24</f>
        <v>10</v>
      </c>
      <c r="N24" t="s">
        <v>40</v>
      </c>
    </row>
    <row r="25" spans="2:15" x14ac:dyDescent="0.3">
      <c r="B25" s="6">
        <v>0</v>
      </c>
      <c r="C25" s="6" t="s">
        <v>17</v>
      </c>
      <c r="D25" s="15">
        <v>1.7</v>
      </c>
      <c r="F25" s="10">
        <v>0.2</v>
      </c>
      <c r="G25" s="8">
        <v>0.1</v>
      </c>
      <c r="H25" s="10">
        <v>0</v>
      </c>
      <c r="I25" s="10">
        <v>0</v>
      </c>
      <c r="J25" s="10">
        <v>0</v>
      </c>
      <c r="K25" s="10">
        <v>1</v>
      </c>
      <c r="L25" s="12"/>
      <c r="M25" s="10"/>
      <c r="N25" t="s">
        <v>41</v>
      </c>
    </row>
    <row r="26" spans="2:15" x14ac:dyDescent="0.3">
      <c r="K26" s="5"/>
    </row>
    <row r="27" spans="2:15" x14ac:dyDescent="0.3">
      <c r="B27" s="9" t="s">
        <v>42</v>
      </c>
      <c r="C27" s="6">
        <f>+D22*B22+D23*B23+D24*B24+D25*B25</f>
        <v>0</v>
      </c>
      <c r="F27" s="10">
        <f>+F22*$B$22+F23*$B$23+F24*$B$24+F25*$B$25-F20</f>
        <v>-4</v>
      </c>
      <c r="G27" s="8">
        <f>+G22*$B$22+G23*$B$23+G24*$B$24+G25*$B$25-G20</f>
        <v>-10</v>
      </c>
      <c r="H27" s="10">
        <f t="shared" ref="G27:K27" si="0">+H22*$B$22+H23*$B$23+H24*$B$24+H25*$B$25-H20</f>
        <v>0</v>
      </c>
      <c r="I27" s="10">
        <f t="shared" si="0"/>
        <v>0</v>
      </c>
      <c r="J27" s="10">
        <f t="shared" si="0"/>
        <v>0</v>
      </c>
      <c r="K27" s="10">
        <f t="shared" si="0"/>
        <v>0</v>
      </c>
      <c r="L27" s="12"/>
      <c r="M27" s="12"/>
    </row>
  </sheetData>
  <mergeCells count="2">
    <mergeCell ref="H8:I8"/>
    <mergeCell ref="H11:I1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8E8D-8881-4983-8EC0-C4174A279EAC}">
  <dimension ref="A1:A10"/>
  <sheetViews>
    <sheetView workbookViewId="0">
      <selection activeCell="E18" sqref="E18"/>
    </sheetView>
  </sheetViews>
  <sheetFormatPr baseColWidth="10" defaultRowHeight="14.4" x14ac:dyDescent="0.3"/>
  <sheetData>
    <row r="1" spans="1:1" x14ac:dyDescent="0.3">
      <c r="A1" s="1" t="s">
        <v>4</v>
      </c>
    </row>
    <row r="2" spans="1:1" ht="15.6" x14ac:dyDescent="0.3">
      <c r="A2" s="1" t="s">
        <v>5</v>
      </c>
    </row>
    <row r="3" spans="1:1" x14ac:dyDescent="0.3">
      <c r="A3" s="1" t="s">
        <v>6</v>
      </c>
    </row>
    <row r="4" spans="1:1" ht="15.6" x14ac:dyDescent="0.3">
      <c r="A4" s="1" t="s">
        <v>7</v>
      </c>
    </row>
    <row r="5" spans="1:1" ht="15.6" x14ac:dyDescent="0.3">
      <c r="A5" s="1" t="s">
        <v>8</v>
      </c>
    </row>
    <row r="6" spans="1:1" ht="15.6" x14ac:dyDescent="0.3">
      <c r="A6" s="1" t="s">
        <v>9</v>
      </c>
    </row>
    <row r="7" spans="1:1" ht="15.6" x14ac:dyDescent="0.3">
      <c r="A7" s="1" t="s">
        <v>10</v>
      </c>
    </row>
    <row r="8" spans="1:1" ht="15.6" x14ac:dyDescent="0.3">
      <c r="A8" s="1" t="s">
        <v>11</v>
      </c>
    </row>
    <row r="9" spans="1:1" ht="15.6" x14ac:dyDescent="0.3">
      <c r="A9" s="1" t="s">
        <v>12</v>
      </c>
    </row>
    <row r="10" spans="1:1" ht="15.6" x14ac:dyDescent="0.3">
      <c r="A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Desafio 1</vt:lpstr>
      <vt:lpstr>Desafio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Villalonga</dc:creator>
  <cp:lastModifiedBy>Uriel Villalonga</cp:lastModifiedBy>
  <dcterms:created xsi:type="dcterms:W3CDTF">2025-09-20T00:54:38Z</dcterms:created>
  <dcterms:modified xsi:type="dcterms:W3CDTF">2025-09-20T01:45:57Z</dcterms:modified>
</cp:coreProperties>
</file>