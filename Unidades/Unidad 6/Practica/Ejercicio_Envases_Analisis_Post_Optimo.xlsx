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a161ea31542415b/UTN/4to Año/IO/Pag web IO/"/>
    </mc:Choice>
  </mc:AlternateContent>
  <xr:revisionPtr revIDLastSave="118" documentId="11_09468FE75E9C5FF36C781E76347F12526E2C304D" xr6:coauthVersionLast="47" xr6:coauthVersionMax="47" xr10:uidLastSave="{66517E2E-BC6C-41CE-BCA4-C69B4CDF5500}"/>
  <bookViews>
    <workbookView xWindow="-108" yWindow="-108" windowWidth="23256" windowHeight="12456" activeTab="1" xr2:uid="{00000000-000D-0000-FFFF-FFFF00000000}"/>
  </bookViews>
  <sheets>
    <sheet name="1. Modelo y TOP" sheetId="1" r:id="rId1"/>
    <sheet name="2. Analisis Post-Optimo (P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a="1"/>
  <c r="G20" i="1" s="1"/>
  <c r="C27" i="2"/>
  <c r="C26" i="2"/>
  <c r="B21" i="1"/>
  <c r="B20" i="1"/>
  <c r="F18" i="1"/>
  <c r="E18" i="1"/>
  <c r="G21" i="1" l="1"/>
  <c r="H20" i="1"/>
  <c r="B46" i="2" s="1"/>
  <c r="H21" i="1"/>
  <c r="F23" i="1"/>
  <c r="E23" i="1"/>
  <c r="D21" i="1" l="1"/>
  <c r="G23" i="1"/>
  <c r="C29" i="1" s="1"/>
  <c r="H23" i="1"/>
  <c r="C30" i="1" s="1"/>
  <c r="D20" i="1"/>
  <c r="C21" i="2" l="1"/>
  <c r="E21" i="2" s="1"/>
  <c r="C20" i="2"/>
  <c r="E20" i="2" s="1"/>
  <c r="D22" i="1"/>
  <c r="C27" i="1" s="1"/>
  <c r="C26" i="1"/>
  <c r="E22" i="2" l="1"/>
  <c r="D26" i="2" s="1"/>
  <c r="E26" i="2" s="1"/>
  <c r="D28" i="2" l="1"/>
  <c r="C41" i="2"/>
  <c r="D41" i="2" s="1"/>
  <c r="E41" i="2" s="1"/>
  <c r="F41" i="2" s="1"/>
  <c r="C42" i="2"/>
  <c r="D42" i="2" s="1"/>
  <c r="E42" i="2" s="1"/>
  <c r="C40" i="2"/>
  <c r="D40" i="2" s="1"/>
  <c r="E40" i="2" s="1"/>
  <c r="C37" i="2"/>
  <c r="D37" i="2" s="1"/>
  <c r="E37" i="2" s="1"/>
  <c r="F37" i="2" s="1"/>
  <c r="F26" i="2"/>
  <c r="G26" i="2"/>
  <c r="F42" i="2"/>
  <c r="F40" i="2"/>
  <c r="C34" i="2"/>
  <c r="D34" i="2" s="1"/>
  <c r="E34" i="2" s="1"/>
  <c r="C39" i="2"/>
  <c r="D39" i="2" s="1"/>
  <c r="E39" i="2" s="1"/>
  <c r="C36" i="2"/>
  <c r="D36" i="2" s="1"/>
  <c r="E36" i="2" s="1"/>
  <c r="D27" i="2"/>
  <c r="E27" i="2" s="1"/>
  <c r="C28" i="2"/>
  <c r="E28" i="2" s="1"/>
  <c r="C35" i="2"/>
  <c r="D35" i="2" s="1"/>
  <c r="E35" i="2" s="1"/>
  <c r="C38" i="2"/>
  <c r="D38" i="2" s="1"/>
  <c r="E38" i="2" s="1"/>
  <c r="G28" i="2" l="1"/>
  <c r="F28" i="2"/>
  <c r="G27" i="2"/>
  <c r="F27" i="2"/>
  <c r="F36" i="2"/>
  <c r="F39" i="2"/>
  <c r="F35" i="2"/>
  <c r="F34" i="2"/>
  <c r="F38" i="2"/>
</calcChain>
</file>

<file path=xl/sharedStrings.xml><?xml version="1.0" encoding="utf-8"?>
<sst xmlns="http://schemas.openxmlformats.org/spreadsheetml/2006/main" count="113" uniqueCount="99">
  <si>
    <t>INVESTIGACIÓN OPERATIVA - UTN</t>
  </si>
  <si>
    <t>Unidad 6: Programación Lineal Continua - Ejercicio 1a (Modelo Base)</t>
  </si>
  <si>
    <t>1. ENUNCIADO</t>
  </si>
  <si>
    <t>1a.- Cada planta fabrica envases de yogures (x1) y de bebidas (x2). Los envases se venden a $8 y $6 respectivamente.
Por mes solo se pueden usar 600 hs máquina y 800 kg de material reciclado. Para fabricar yogures se requieren 2 hs máquina y 4 kg de material reciclado. Para fabricar bebidas se requieren 3 hs máquina y 2 kg de material reciclado.
Objetivo: Hallar el mix óptimo de producción en forma analítica para obtener la mayor ganancia posible.</t>
  </si>
  <si>
    <t>2. FORMULACIÓN DEL MODELO PRIMAL</t>
  </si>
  <si>
    <t>Elemento</t>
  </si>
  <si>
    <t>Notación</t>
  </si>
  <si>
    <t>x1 (Yogur)</t>
  </si>
  <si>
    <t>x2 (Bebida)</t>
  </si>
  <si>
    <t>Relación</t>
  </si>
  <si>
    <t>Disponibilidad</t>
  </si>
  <si>
    <t>Unidad</t>
  </si>
  <si>
    <t>Funcional</t>
  </si>
  <si>
    <t>Max Z</t>
  </si>
  <si>
    <t>=</t>
  </si>
  <si>
    <t>-</t>
  </si>
  <si>
    <t>$/unidad</t>
  </si>
  <si>
    <t>Restricción 1</t>
  </si>
  <si>
    <t>Hs Máquina</t>
  </si>
  <si>
    <t>&lt;=</t>
  </si>
  <si>
    <t>horas/mes</t>
  </si>
  <si>
    <t>Restricción 2</t>
  </si>
  <si>
    <t>Material Reciclado</t>
  </si>
  <si>
    <t>kg/mes</t>
  </si>
  <si>
    <t>Cond. No Negatividad</t>
  </si>
  <si>
    <t>x1, x2</t>
  </si>
  <si>
    <t>&gt;= 0</t>
  </si>
  <si>
    <t>3. TABLA ÓPTIMA DEL PRIMAL (TOP)</t>
  </si>
  <si>
    <t>Se resuelve analíticamente saturando ambas restricciones (sistema 2x2: 2·x1 + 3·x2 = 600 y 4·x1 + 2·x2 = 800):</t>
  </si>
  <si>
    <t>0</t>
  </si>
  <si>
    <t>Ck</t>
  </si>
  <si>
    <t>Xk</t>
  </si>
  <si>
    <t>Bk</t>
  </si>
  <si>
    <t>x1</t>
  </si>
  <si>
    <t>x2</t>
  </si>
  <si>
    <t>λ1 (hs)</t>
  </si>
  <si>
    <t>λ2 (mat)</t>
  </si>
  <si>
    <t>Z</t>
  </si>
  <si>
    <t>zj - cj</t>
  </si>
  <si>
    <t>4. LECTURA DE RESULTADOS DEL MODELO BASE</t>
  </si>
  <si>
    <t>Mix óptimo de producción:</t>
  </si>
  <si>
    <t>Ganancia Máxima (Z*):</t>
  </si>
  <si>
    <t>Uso de recursos:</t>
  </si>
  <si>
    <t>600 hs máquina utilizadas (100%) | 800 kg de material utilizados (100%) -&gt; λ1 = 0, λ2 = 0</t>
  </si>
  <si>
    <t>Valor Marginal Hs Máquina (y1):</t>
  </si>
  <si>
    <t>Valor Marginal Material (y2):</t>
  </si>
  <si>
    <t>Unidad 6: Análisis Post-Óptimo - Evaluación de un Nuevo Producto (Inciso 1b)</t>
  </si>
  <si>
    <t>¿POR QUÉ NO SE VUELVE A RESOLVER POR SIMPLEX?</t>
  </si>
  <si>
    <t>1. DATOS DEL NUEVO PRODUCTO (x3: Envases de Postre)</t>
  </si>
  <si>
    <t>Parámetro</t>
  </si>
  <si>
    <t>Símbolo</t>
  </si>
  <si>
    <t>Valor</t>
  </si>
  <si>
    <t>Descripción</t>
  </si>
  <si>
    <t>Consumo Hs Máquina</t>
  </si>
  <si>
    <t>a13</t>
  </si>
  <si>
    <t>hs/unidad</t>
  </si>
  <si>
    <t>Horas máquina necesarias por cada envase de postre</t>
  </si>
  <si>
    <t>Consumo Material Reciclado</t>
  </si>
  <si>
    <t>a23</t>
  </si>
  <si>
    <t>kg/unidad</t>
  </si>
  <si>
    <t>Kg de material reciclado requeridos por envase</t>
  </si>
  <si>
    <t>Precio de Venta propuesto (Caso 1)</t>
  </si>
  <si>
    <t>c3</t>
  </si>
  <si>
    <t>Precio de mercado a evaluar</t>
  </si>
  <si>
    <t>Precio de Venta alternativo (Caso 2)</t>
  </si>
  <si>
    <t>c3'</t>
  </si>
  <si>
    <t>Escenario con precio más alto</t>
  </si>
  <si>
    <t>2. CÁLCULO ANALÍTICO: LUCRO CESANTE (z3)</t>
  </si>
  <si>
    <t>Lucro Cesante = Σ (Valor Marginal_i × Requerimiento_i)  --&gt; Valor de los recursos que consume el producto 3</t>
  </si>
  <si>
    <t>Recurso i</t>
  </si>
  <si>
    <t>Valor Marginal (yi)</t>
  </si>
  <si>
    <t>Consumo de x3 (ai3)</t>
  </si>
  <si>
    <t>Aporte al Lucro Cesante ($)</t>
  </si>
  <si>
    <t>Fórmula</t>
  </si>
  <si>
    <t>Hs Máquina (Recurso 1)</t>
  </si>
  <si>
    <t>y1 · a13 = $1,00/h × 1 h</t>
  </si>
  <si>
    <t>Material Reciclado (Recurso 2)</t>
  </si>
  <si>
    <t>y2 · a23 = $1,50/kg × 2 kg</t>
  </si>
  <si>
    <t>LUCRO CESANTE TOTAL (z3)</t>
  </si>
  <si>
    <t>z3 = $1,00 + $3,00 = $4,00</t>
  </si>
  <si>
    <t>3. EVALUACIÓN DEL COSTO DE OPORTUNIDAD (z3 - c3)</t>
  </si>
  <si>
    <t>Escenario</t>
  </si>
  <si>
    <t>Precio de Venta (c3)</t>
  </si>
  <si>
    <t>Lucro Cesante (z3)</t>
  </si>
  <si>
    <t>¿Conviene Fabricar?</t>
  </si>
  <si>
    <t>Conclusión Pedagógica</t>
  </si>
  <si>
    <t>Caso 1: Precio = $3,50</t>
  </si>
  <si>
    <t>Caso 2: Precio = $5,00</t>
  </si>
  <si>
    <t>Punto de Indiferencia</t>
  </si>
  <si>
    <t>4. TABLA DE SENSIBILIDAD DEL PRECIO DEL NUEVO PRODUCTO</t>
  </si>
  <si>
    <t>Sensibilidad de la decisión según el precio de venta c3:</t>
  </si>
  <si>
    <t>Precio c3 ($)</t>
  </si>
  <si>
    <t>Lucro Cesante z3 ($)</t>
  </si>
  <si>
    <t>Criterio de Decisión</t>
  </si>
  <si>
    <t>Impacto en el Plan de Producción</t>
  </si>
  <si>
    <t>5. COLUMNA GENERADA EN EL TABLEAU (Tasa de Sustitución)</t>
  </si>
  <si>
    <t>Costo de Oportunidad (c3 - z3)</t>
  </si>
  <si>
    <t>Costo Oportunidad (c3 - z3)</t>
  </si>
  <si>
    <t>REGLA DE LA CÁTEDRA: En la práctica profesional y en los exámenes de IO, NUNCA se rehace Simplex desde cero cuando se evalúa incorporar un nuevo producto. Se utiliza la información ya obtenida en la Tabla Óptima del Primal (TOP).
Un nuevo producto solo se producirá si su margen de ganancia supera lo que 'cuesta' utilizar los recursos que consume (valorizados a sus valores marginales / precios sombra). Esto se evalúa con el LUCRO CESANTE (zj) y el COSTO DE OPORTUNIDAD (cj - zj).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</si>
</sst>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7" x14ac:knownFonts="1">
    <font>
      <sz val="11"/>
      <color theme="1"/>
      <name val="Calibri"/>
      <family val="2"/>
      <scheme val="minor"/>
    </font>
    <font>
      <b/>
      <sz val="11"/>
      <color rgb="FF1B365D"/>
      <name val="Calibri"/>
    </font>
    <font>
      <b/>
      <sz val="14"/>
      <color rgb="FF1B365D"/>
      <name val="Calibri"/>
    </font>
    <font>
      <sz val="10"/>
      <name val="Calibri"/>
    </font>
    <font>
      <b/>
      <sz val="10"/>
      <color rgb="FFFFFFFF"/>
      <name val="Calibri"/>
    </font>
    <font>
      <i/>
      <sz val="9"/>
      <color rgb="FF555555"/>
      <name val="Calibri"/>
    </font>
    <font>
      <b/>
      <sz val="10"/>
      <name val="Calibri"/>
    </font>
  </fonts>
  <fills count="8">
    <fill>
      <patternFill patternType="none"/>
    </fill>
    <fill>
      <patternFill patternType="gray125"/>
    </fill>
    <fill>
      <patternFill patternType="solid">
        <fgColor rgb="FF1B365D"/>
        <bgColor rgb="FF1B365D"/>
      </patternFill>
    </fill>
    <fill>
      <patternFill patternType="solid">
        <fgColor rgb="FFEBF4FF"/>
        <bgColor rgb="FFEBF4FF"/>
      </patternFill>
    </fill>
    <fill>
      <patternFill patternType="solid">
        <fgColor rgb="FF2C5282"/>
        <bgColor rgb="FF2C5282"/>
      </patternFill>
    </fill>
    <fill>
      <patternFill patternType="solid">
        <fgColor rgb="FFD1E7DD"/>
        <bgColor rgb="FFD1E7DD"/>
      </patternFill>
    </fill>
    <fill>
      <patternFill patternType="solid">
        <fgColor rgb="FFFFF3CD"/>
        <bgColor rgb="FFFFF3CD"/>
      </patternFill>
    </fill>
    <fill>
      <patternFill patternType="solid">
        <fgColor rgb="FFF8D7DA"/>
        <bgColor rgb="FFF8D7DA"/>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double">
        <color rgb="FF000000"/>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horizontal="center" vertical="center"/>
    </xf>
    <xf numFmtId="3" fontId="3" fillId="0" borderId="2" xfId="0" applyNumberFormat="1" applyFont="1" applyBorder="1" applyAlignment="1">
      <alignment horizontal="right" vertical="center"/>
    </xf>
    <xf numFmtId="0" fontId="3" fillId="0" borderId="2" xfId="0" applyFont="1" applyBorder="1" applyAlignment="1">
      <alignment horizontal="right" vertical="center"/>
    </xf>
    <xf numFmtId="0" fontId="5" fillId="0" borderId="0" xfId="0" applyFont="1"/>
    <xf numFmtId="0" fontId="6" fillId="0" borderId="0" xfId="0" applyFont="1" applyAlignment="1">
      <alignment horizontal="center" vertical="center"/>
    </xf>
    <xf numFmtId="0" fontId="6" fillId="3" borderId="2" xfId="0" applyFont="1" applyFill="1" applyBorder="1" applyAlignment="1">
      <alignment horizontal="center" vertical="center"/>
    </xf>
    <xf numFmtId="0" fontId="4" fillId="4" borderId="1" xfId="0" applyFont="1" applyFill="1" applyBorder="1" applyAlignment="1">
      <alignment horizontal="center" vertical="center"/>
    </xf>
    <xf numFmtId="0" fontId="6" fillId="0" borderId="2" xfId="0" applyFont="1" applyBorder="1" applyAlignment="1">
      <alignment horizontal="center" vertical="center"/>
    </xf>
    <xf numFmtId="4" fontId="3" fillId="0" borderId="2" xfId="0" applyNumberFormat="1" applyFont="1" applyBorder="1" applyAlignment="1">
      <alignment horizontal="right" vertical="center"/>
    </xf>
    <xf numFmtId="2" fontId="3" fillId="0" borderId="2" xfId="0" applyNumberFormat="1" applyFont="1" applyBorder="1" applyAlignment="1">
      <alignment horizontal="right" vertical="center"/>
    </xf>
    <xf numFmtId="164" fontId="3" fillId="0" borderId="2" xfId="0" applyNumberFormat="1" applyFont="1" applyBorder="1" applyAlignment="1">
      <alignment horizontal="right" vertical="center"/>
    </xf>
    <xf numFmtId="0" fontId="6" fillId="0" borderId="2" xfId="0" applyFont="1" applyBorder="1"/>
    <xf numFmtId="165" fontId="6" fillId="5" borderId="2" xfId="0" applyNumberFormat="1" applyFont="1" applyFill="1" applyBorder="1"/>
    <xf numFmtId="0" fontId="0" fillId="0" borderId="2" xfId="0" applyBorder="1"/>
    <xf numFmtId="0" fontId="6" fillId="0" borderId="3" xfId="0" applyFont="1" applyBorder="1"/>
    <xf numFmtId="0" fontId="0" fillId="0" borderId="3" xfId="0" applyBorder="1"/>
    <xf numFmtId="2" fontId="3" fillId="0" borderId="3" xfId="0" applyNumberFormat="1" applyFont="1" applyBorder="1"/>
    <xf numFmtId="2" fontId="6" fillId="6" borderId="3" xfId="0" applyNumberFormat="1" applyFont="1" applyFill="1" applyBorder="1"/>
    <xf numFmtId="0" fontId="3" fillId="0" borderId="2" xfId="0" applyFont="1" applyBorder="1"/>
    <xf numFmtId="4" fontId="6" fillId="0" borderId="2" xfId="0" applyNumberFormat="1" applyFont="1" applyBorder="1" applyAlignment="1">
      <alignment horizontal="right" vertical="center"/>
    </xf>
    <xf numFmtId="165" fontId="6" fillId="0" borderId="2" xfId="0" applyNumberFormat="1" applyFont="1" applyBorder="1" applyAlignment="1">
      <alignment horizontal="right" vertical="center"/>
    </xf>
    <xf numFmtId="165" fontId="3" fillId="0" borderId="2" xfId="0" applyNumberFormat="1" applyFont="1" applyBorder="1" applyAlignment="1">
      <alignment horizontal="right" vertical="center"/>
    </xf>
    <xf numFmtId="165" fontId="6" fillId="3" borderId="3" xfId="0" applyNumberFormat="1" applyFont="1" applyFill="1" applyBorder="1"/>
    <xf numFmtId="0" fontId="6" fillId="7" borderId="2" xfId="0" applyFont="1" applyFill="1" applyBorder="1" applyAlignment="1">
      <alignment horizontal="center" vertical="center"/>
    </xf>
    <xf numFmtId="0" fontId="6" fillId="6" borderId="2" xfId="0" applyFont="1" applyFill="1" applyBorder="1" applyAlignment="1">
      <alignment horizontal="center" vertical="center"/>
    </xf>
    <xf numFmtId="165" fontId="0" fillId="0" borderId="2" xfId="0" applyNumberFormat="1" applyBorder="1" applyAlignment="1">
      <alignment horizontal="right" vertical="center"/>
    </xf>
    <xf numFmtId="0" fontId="6" fillId="5" borderId="2" xfId="0" applyFont="1" applyFill="1" applyBorder="1" applyAlignment="1">
      <alignment horizontal="center" vertical="center"/>
    </xf>
    <xf numFmtId="0" fontId="3" fillId="0" borderId="0" xfId="0" applyFont="1" applyAlignment="1">
      <alignment horizontal="left" vertical="center" wrapText="1"/>
    </xf>
    <xf numFmtId="0" fontId="0" fillId="0" borderId="0" xfId="0"/>
    <xf numFmtId="0" fontId="3" fillId="0" borderId="2" xfId="0" applyFont="1" applyBorder="1"/>
    <xf numFmtId="0" fontId="0" fillId="0" borderId="4" xfId="0" applyBorder="1"/>
    <xf numFmtId="0" fontId="0" fillId="0" borderId="5" xfId="0" applyBorder="1"/>
    <xf numFmtId="3" fontId="6" fillId="3"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0"/>
  <sheetViews>
    <sheetView topLeftCell="A22" workbookViewId="0">
      <selection activeCell="F1" sqref="F1"/>
    </sheetView>
  </sheetViews>
  <sheetFormatPr baseColWidth="10" defaultColWidth="8.88671875" defaultRowHeight="14.4" x14ac:dyDescent="0.3"/>
  <cols>
    <col min="1" max="1" width="4" customWidth="1"/>
    <col min="2" max="2" width="28" customWidth="1"/>
    <col min="3" max="3" width="22" customWidth="1"/>
    <col min="4" max="4" width="20" customWidth="1"/>
    <col min="5" max="5" width="22" customWidth="1"/>
    <col min="6" max="6" width="24" customWidth="1"/>
    <col min="7" max="7" width="22" customWidth="1"/>
    <col min="8" max="8" width="20" customWidth="1"/>
  </cols>
  <sheetData>
    <row r="2" spans="2:8" x14ac:dyDescent="0.3">
      <c r="B2" s="1" t="s">
        <v>0</v>
      </c>
    </row>
    <row r="3" spans="2:8" ht="18" x14ac:dyDescent="0.35">
      <c r="B3" s="2" t="s">
        <v>1</v>
      </c>
    </row>
    <row r="5" spans="2:8" x14ac:dyDescent="0.3">
      <c r="B5" s="1" t="s">
        <v>2</v>
      </c>
    </row>
    <row r="6" spans="2:8" x14ac:dyDescent="0.3">
      <c r="B6" s="32" t="s">
        <v>3</v>
      </c>
      <c r="C6" s="33"/>
      <c r="D6" s="33"/>
      <c r="E6" s="33"/>
      <c r="F6" s="33"/>
      <c r="G6" s="33"/>
      <c r="H6" s="33"/>
    </row>
    <row r="7" spans="2:8" x14ac:dyDescent="0.3">
      <c r="B7" s="33"/>
      <c r="C7" s="33"/>
      <c r="D7" s="33"/>
      <c r="E7" s="33"/>
      <c r="F7" s="33"/>
      <c r="G7" s="33"/>
      <c r="H7" s="33"/>
    </row>
    <row r="9" spans="2:8" x14ac:dyDescent="0.3">
      <c r="B9" s="1" t="s">
        <v>4</v>
      </c>
    </row>
    <row r="10" spans="2:8" x14ac:dyDescent="0.3">
      <c r="B10" s="3" t="s">
        <v>5</v>
      </c>
      <c r="C10" s="3" t="s">
        <v>6</v>
      </c>
      <c r="D10" s="3" t="s">
        <v>7</v>
      </c>
      <c r="E10" s="3" t="s">
        <v>8</v>
      </c>
      <c r="F10" s="3" t="s">
        <v>9</v>
      </c>
      <c r="G10" s="3" t="s">
        <v>10</v>
      </c>
      <c r="H10" s="3" t="s">
        <v>11</v>
      </c>
    </row>
    <row r="11" spans="2:8" x14ac:dyDescent="0.3">
      <c r="B11" s="4" t="s">
        <v>12</v>
      </c>
      <c r="C11" s="5" t="s">
        <v>13</v>
      </c>
      <c r="D11" s="6">
        <v>8</v>
      </c>
      <c r="E11" s="6">
        <v>6</v>
      </c>
      <c r="F11" s="5" t="s">
        <v>14</v>
      </c>
      <c r="G11" s="7" t="s">
        <v>15</v>
      </c>
      <c r="H11" s="5" t="s">
        <v>16</v>
      </c>
    </row>
    <row r="12" spans="2:8" x14ac:dyDescent="0.3">
      <c r="B12" s="4" t="s">
        <v>17</v>
      </c>
      <c r="C12" s="5" t="s">
        <v>18</v>
      </c>
      <c r="D12" s="6">
        <v>2</v>
      </c>
      <c r="E12" s="6">
        <v>3</v>
      </c>
      <c r="F12" s="5" t="s">
        <v>19</v>
      </c>
      <c r="G12" s="6">
        <v>600</v>
      </c>
      <c r="H12" s="5" t="s">
        <v>20</v>
      </c>
    </row>
    <row r="13" spans="2:8" x14ac:dyDescent="0.3">
      <c r="B13" s="4" t="s">
        <v>21</v>
      </c>
      <c r="C13" s="5" t="s">
        <v>22</v>
      </c>
      <c r="D13" s="6">
        <v>4</v>
      </c>
      <c r="E13" s="6">
        <v>2</v>
      </c>
      <c r="F13" s="5" t="s">
        <v>19</v>
      </c>
      <c r="G13" s="6">
        <v>800</v>
      </c>
      <c r="H13" s="5" t="s">
        <v>23</v>
      </c>
    </row>
    <row r="14" spans="2:8" x14ac:dyDescent="0.3">
      <c r="B14" s="4" t="s">
        <v>24</v>
      </c>
      <c r="C14" s="5" t="s">
        <v>25</v>
      </c>
      <c r="D14" s="7" t="s">
        <v>26</v>
      </c>
      <c r="E14" s="7" t="s">
        <v>26</v>
      </c>
      <c r="F14" s="5" t="s">
        <v>15</v>
      </c>
      <c r="G14" s="7" t="s">
        <v>15</v>
      </c>
      <c r="H14" s="5" t="s">
        <v>15</v>
      </c>
    </row>
    <row r="16" spans="2:8" x14ac:dyDescent="0.3">
      <c r="B16" s="1" t="s">
        <v>27</v>
      </c>
    </row>
    <row r="17" spans="2:8" x14ac:dyDescent="0.3">
      <c r="B17" s="8" t="s">
        <v>28</v>
      </c>
    </row>
    <row r="18" spans="2:8" x14ac:dyDescent="0.3">
      <c r="B18" s="9"/>
      <c r="C18" s="9"/>
      <c r="D18" s="9"/>
      <c r="E18" s="37">
        <f>D11</f>
        <v>8</v>
      </c>
      <c r="F18" s="37">
        <f>E11</f>
        <v>6</v>
      </c>
      <c r="G18" s="10" t="s">
        <v>29</v>
      </c>
      <c r="H18" s="10" t="s">
        <v>29</v>
      </c>
    </row>
    <row r="19" spans="2:8" x14ac:dyDescent="0.3">
      <c r="B19" s="11" t="s">
        <v>30</v>
      </c>
      <c r="C19" s="11" t="s">
        <v>31</v>
      </c>
      <c r="D19" s="11" t="s">
        <v>32</v>
      </c>
      <c r="E19" s="11" t="s">
        <v>33</v>
      </c>
      <c r="F19" s="11" t="s">
        <v>34</v>
      </c>
      <c r="G19" s="11" t="s">
        <v>35</v>
      </c>
      <c r="H19" s="11" t="s">
        <v>36</v>
      </c>
    </row>
    <row r="20" spans="2:8" x14ac:dyDescent="0.3">
      <c r="B20" s="38">
        <f>D11</f>
        <v>8</v>
      </c>
      <c r="C20" s="12" t="s">
        <v>33</v>
      </c>
      <c r="D20" s="13">
        <f>G20*G12+H20*G13</f>
        <v>150</v>
      </c>
      <c r="E20" s="14">
        <v>1</v>
      </c>
      <c r="F20" s="14">
        <v>0</v>
      </c>
      <c r="G20" s="15">
        <f t="array" ref="G20:H21">MINVERSE(D12:E13)</f>
        <v>-0.25</v>
      </c>
      <c r="H20" s="15">
        <v>0.375</v>
      </c>
    </row>
    <row r="21" spans="2:8" x14ac:dyDescent="0.3">
      <c r="B21" s="38">
        <f>E11</f>
        <v>6</v>
      </c>
      <c r="C21" s="12" t="s">
        <v>34</v>
      </c>
      <c r="D21" s="13">
        <f>G21*G12+H21*G13</f>
        <v>100</v>
      </c>
      <c r="E21" s="14">
        <v>0</v>
      </c>
      <c r="F21" s="14">
        <v>1</v>
      </c>
      <c r="G21" s="15">
        <v>0.5</v>
      </c>
      <c r="H21" s="15">
        <v>-0.25</v>
      </c>
    </row>
    <row r="22" spans="2:8" x14ac:dyDescent="0.3">
      <c r="B22" s="16" t="s">
        <v>37</v>
      </c>
      <c r="C22" s="16" t="s">
        <v>14</v>
      </c>
      <c r="D22" s="17">
        <f>B20*D20+B21*D21</f>
        <v>1800</v>
      </c>
      <c r="E22" s="18"/>
      <c r="F22" s="18"/>
      <c r="G22" s="18"/>
      <c r="H22" s="18"/>
    </row>
    <row r="23" spans="2:8" x14ac:dyDescent="0.3">
      <c r="B23" s="19" t="s">
        <v>38</v>
      </c>
      <c r="C23" s="19" t="s">
        <v>14</v>
      </c>
      <c r="D23" s="20"/>
      <c r="E23" s="21">
        <f>B20*E20+B21*E21-E18</f>
        <v>0</v>
      </c>
      <c r="F23" s="21">
        <f>B20*F20+B21*F21-F18</f>
        <v>0</v>
      </c>
      <c r="G23" s="22">
        <f>B20*G20+B21*G21-G18</f>
        <v>1</v>
      </c>
      <c r="H23" s="22">
        <f>B20*H20+B21*H21-H18</f>
        <v>1.5</v>
      </c>
    </row>
    <row r="25" spans="2:8" x14ac:dyDescent="0.3">
      <c r="B25" s="1" t="s">
        <v>39</v>
      </c>
    </row>
    <row r="26" spans="2:8" x14ac:dyDescent="0.3">
      <c r="B26" s="16" t="s">
        <v>40</v>
      </c>
      <c r="C26" s="34" t="str">
        <f>"x1* = " &amp; TEXT(D20,"#,##0") &amp; " envases de yogur | x2* = " &amp; TEXT(D21,"#,##0") &amp; " envases de bebida"</f>
        <v>x1* = 150 envases de yogur | x2* = 100 envases de bebida</v>
      </c>
      <c r="D26" s="35"/>
      <c r="E26" s="35"/>
      <c r="F26" s="35"/>
      <c r="G26" s="35"/>
      <c r="H26" s="36"/>
    </row>
    <row r="27" spans="2:8" x14ac:dyDescent="0.3">
      <c r="B27" s="16" t="s">
        <v>41</v>
      </c>
      <c r="C27" s="34" t="str">
        <f>TEXT(D22,"\$#,##0.00") &amp; " por mes"</f>
        <v>$1,800.00 por mes</v>
      </c>
      <c r="D27" s="35"/>
      <c r="E27" s="35"/>
      <c r="F27" s="35"/>
      <c r="G27" s="35"/>
      <c r="H27" s="36"/>
    </row>
    <row r="28" spans="2:8" x14ac:dyDescent="0.3">
      <c r="B28" s="16" t="s">
        <v>42</v>
      </c>
      <c r="C28" s="34" t="s">
        <v>43</v>
      </c>
      <c r="D28" s="35"/>
      <c r="E28" s="35"/>
      <c r="F28" s="35"/>
      <c r="G28" s="35"/>
      <c r="H28" s="36"/>
    </row>
    <row r="29" spans="2:8" x14ac:dyDescent="0.3">
      <c r="B29" s="16" t="s">
        <v>44</v>
      </c>
      <c r="C29" s="34" t="str">
        <f>"$" &amp; TEXT(G23,"#,##0.00") &amp; " por cada hora adicional de máquina (columna λ1 en fila zj-cj)"</f>
        <v>$1.00 por cada hora adicional de máquina (columna λ1 en fila zj-cj)</v>
      </c>
      <c r="D29" s="35"/>
      <c r="E29" s="35"/>
      <c r="F29" s="35"/>
      <c r="G29" s="35"/>
      <c r="H29" s="36"/>
    </row>
    <row r="30" spans="2:8" x14ac:dyDescent="0.3">
      <c r="B30" s="16" t="s">
        <v>45</v>
      </c>
      <c r="C30" s="34" t="str">
        <f>"$" &amp; TEXT(H23,"#,##0.00") &amp; " por cada kg adicional de material reciclado (columna λ2 en fila zj-cj)"</f>
        <v>$1.50 por cada kg adicional de material reciclado (columna λ2 en fila zj-cj)</v>
      </c>
      <c r="D30" s="35"/>
      <c r="E30" s="35"/>
      <c r="F30" s="35"/>
      <c r="G30" s="35"/>
      <c r="H30" s="36"/>
    </row>
  </sheetData>
  <mergeCells count="6">
    <mergeCell ref="C30:H30"/>
    <mergeCell ref="B6:H7"/>
    <mergeCell ref="C28:H28"/>
    <mergeCell ref="C27:H27"/>
    <mergeCell ref="C26:H26"/>
    <mergeCell ref="C29:H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49"/>
  <sheetViews>
    <sheetView tabSelected="1" topLeftCell="A22" zoomScale="113" workbookViewId="0">
      <selection activeCell="E26" sqref="E26"/>
    </sheetView>
  </sheetViews>
  <sheetFormatPr baseColWidth="10" defaultColWidth="8.88671875" defaultRowHeight="14.4" x14ac:dyDescent="0.3"/>
  <cols>
    <col min="1" max="1" width="4" customWidth="1"/>
    <col min="2" max="2" width="28" customWidth="1"/>
    <col min="3" max="3" width="16.88671875" bestFit="1" customWidth="1"/>
    <col min="4" max="4" width="22.6640625" bestFit="1" customWidth="1"/>
    <col min="5" max="5" width="25.109375" bestFit="1" customWidth="1"/>
    <col min="6" max="6" width="58.5546875" bestFit="1" customWidth="1"/>
    <col min="7" max="7" width="22" customWidth="1"/>
    <col min="8" max="8" width="20" customWidth="1"/>
    <col min="9" max="9" width="25" customWidth="1"/>
  </cols>
  <sheetData>
    <row r="2" spans="2:9" x14ac:dyDescent="0.3">
      <c r="B2" s="1" t="s">
        <v>0</v>
      </c>
    </row>
    <row r="3" spans="2:9" ht="18" x14ac:dyDescent="0.35">
      <c r="B3" s="2" t="s">
        <v>46</v>
      </c>
    </row>
    <row r="5" spans="2:9" x14ac:dyDescent="0.3">
      <c r="B5" s="1" t="s">
        <v>47</v>
      </c>
    </row>
    <row r="6" spans="2:9" x14ac:dyDescent="0.3">
      <c r="B6" s="32" t="s">
        <v>98</v>
      </c>
      <c r="C6" s="33"/>
      <c r="D6" s="33"/>
      <c r="E6" s="33"/>
      <c r="F6" s="33"/>
      <c r="G6" s="33"/>
      <c r="H6" s="33"/>
      <c r="I6" s="33"/>
    </row>
    <row r="7" spans="2:9" x14ac:dyDescent="0.3">
      <c r="B7" s="33"/>
      <c r="C7" s="33"/>
      <c r="D7" s="33"/>
      <c r="E7" s="33"/>
      <c r="F7" s="33"/>
      <c r="G7" s="33"/>
      <c r="H7" s="33"/>
      <c r="I7" s="33"/>
    </row>
    <row r="8" spans="2:9" x14ac:dyDescent="0.3">
      <c r="B8" s="33"/>
      <c r="C8" s="33"/>
      <c r="D8" s="33"/>
      <c r="E8" s="33"/>
      <c r="F8" s="33"/>
      <c r="G8" s="33"/>
      <c r="H8" s="33"/>
      <c r="I8" s="33"/>
    </row>
    <row r="10" spans="2:9" x14ac:dyDescent="0.3">
      <c r="B10" s="1" t="s">
        <v>48</v>
      </c>
    </row>
    <row r="11" spans="2:9" x14ac:dyDescent="0.3">
      <c r="B11" s="3" t="s">
        <v>49</v>
      </c>
      <c r="C11" s="3" t="s">
        <v>50</v>
      </c>
      <c r="D11" s="3" t="s">
        <v>51</v>
      </c>
      <c r="E11" s="3" t="s">
        <v>11</v>
      </c>
      <c r="F11" s="3" t="s">
        <v>52</v>
      </c>
    </row>
    <row r="12" spans="2:9" x14ac:dyDescent="0.3">
      <c r="B12" s="4" t="s">
        <v>53</v>
      </c>
      <c r="C12" s="5" t="s">
        <v>54</v>
      </c>
      <c r="D12" s="24">
        <v>1</v>
      </c>
      <c r="E12" s="5" t="s">
        <v>55</v>
      </c>
      <c r="F12" s="4" t="s">
        <v>56</v>
      </c>
    </row>
    <row r="13" spans="2:9" x14ac:dyDescent="0.3">
      <c r="B13" s="4" t="s">
        <v>57</v>
      </c>
      <c r="C13" s="5" t="s">
        <v>58</v>
      </c>
      <c r="D13" s="24">
        <v>2</v>
      </c>
      <c r="E13" s="5" t="s">
        <v>59</v>
      </c>
      <c r="F13" s="4" t="s">
        <v>60</v>
      </c>
    </row>
    <row r="14" spans="2:9" x14ac:dyDescent="0.3">
      <c r="B14" s="4" t="s">
        <v>61</v>
      </c>
      <c r="C14" s="5" t="s">
        <v>62</v>
      </c>
      <c r="D14" s="25">
        <v>3.5</v>
      </c>
      <c r="E14" s="5" t="s">
        <v>16</v>
      </c>
      <c r="F14" s="4" t="s">
        <v>63</v>
      </c>
    </row>
    <row r="15" spans="2:9" x14ac:dyDescent="0.3">
      <c r="B15" s="4" t="s">
        <v>64</v>
      </c>
      <c r="C15" s="5" t="s">
        <v>65</v>
      </c>
      <c r="D15" s="25">
        <v>5</v>
      </c>
      <c r="E15" s="5" t="s">
        <v>16</v>
      </c>
      <c r="F15" s="4" t="s">
        <v>66</v>
      </c>
    </row>
    <row r="17" spans="2:7" x14ac:dyDescent="0.3">
      <c r="B17" s="1" t="s">
        <v>67</v>
      </c>
    </row>
    <row r="18" spans="2:7" x14ac:dyDescent="0.3">
      <c r="B18" s="8" t="s">
        <v>68</v>
      </c>
    </row>
    <row r="19" spans="2:7" x14ac:dyDescent="0.3">
      <c r="B19" s="11" t="s">
        <v>69</v>
      </c>
      <c r="C19" s="11" t="s">
        <v>70</v>
      </c>
      <c r="D19" s="11" t="s">
        <v>71</v>
      </c>
      <c r="E19" s="11" t="s">
        <v>72</v>
      </c>
      <c r="F19" s="11" t="s">
        <v>73</v>
      </c>
    </row>
    <row r="20" spans="2:7" x14ac:dyDescent="0.3">
      <c r="B20" s="4" t="s">
        <v>74</v>
      </c>
      <c r="C20" s="26">
        <f>'1. Modelo y TOP'!G23</f>
        <v>1</v>
      </c>
      <c r="D20" s="13">
        <v>1</v>
      </c>
      <c r="E20" s="26">
        <f>C20*D20</f>
        <v>1</v>
      </c>
      <c r="F20" s="4" t="s">
        <v>75</v>
      </c>
    </row>
    <row r="21" spans="2:7" x14ac:dyDescent="0.3">
      <c r="B21" s="4" t="s">
        <v>76</v>
      </c>
      <c r="C21" s="26">
        <f>'1. Modelo y TOP'!H23</f>
        <v>1.5</v>
      </c>
      <c r="D21" s="13">
        <v>2</v>
      </c>
      <c r="E21" s="26">
        <f>C21*D21</f>
        <v>3</v>
      </c>
      <c r="F21" s="4" t="s">
        <v>77</v>
      </c>
    </row>
    <row r="22" spans="2:7" x14ac:dyDescent="0.3">
      <c r="B22" s="19" t="s">
        <v>78</v>
      </c>
      <c r="C22" s="20"/>
      <c r="D22" s="20"/>
      <c r="E22" s="27">
        <f>SUM(E20:E21)</f>
        <v>4</v>
      </c>
      <c r="F22" s="19" t="s">
        <v>79</v>
      </c>
    </row>
    <row r="24" spans="2:7" x14ac:dyDescent="0.3">
      <c r="B24" s="1" t="s">
        <v>80</v>
      </c>
    </row>
    <row r="25" spans="2:7" x14ac:dyDescent="0.3">
      <c r="B25" s="3" t="s">
        <v>81</v>
      </c>
      <c r="C25" s="3" t="s">
        <v>82</v>
      </c>
      <c r="D25" s="3" t="s">
        <v>83</v>
      </c>
      <c r="E25" s="3" t="s">
        <v>96</v>
      </c>
      <c r="F25" s="3" t="s">
        <v>84</v>
      </c>
      <c r="G25" s="3" t="s">
        <v>85</v>
      </c>
    </row>
    <row r="26" spans="2:7" x14ac:dyDescent="0.3">
      <c r="B26" s="4" t="s">
        <v>86</v>
      </c>
      <c r="C26" s="26">
        <f>D14</f>
        <v>3.5</v>
      </c>
      <c r="D26" s="26">
        <f>E22</f>
        <v>4</v>
      </c>
      <c r="E26" s="25">
        <f>C26-D26</f>
        <v>-0.5</v>
      </c>
      <c r="F26" s="28" t="str">
        <f>IF(E26&gt;0,"SÍ CONVIENE","NO CONVIENE")</f>
        <v>NO CONVIENE</v>
      </c>
      <c r="G26" s="4" t="str">
        <f>"c3 - z3 = " &amp; TEXT(E26,"+0.00;-0.00;0.00") &amp; IF(E26&gt;0," &gt; 0. Conviene producirlo (entraría a la base de Simplex mejorando Z).",IF(E26&lt;0," &lt; 0. El producto pierde " &amp; TEXT(-E26,"$#,##0.00") &amp; " frente a las alternativas. x3 queda en 0."," = 0. Cero alternativo. No altera la ganancia total óptima."))</f>
        <v>c3 - z3 = -0.50 &lt; 0. El producto pierde $0.50 frente a las alternativas. x3 queda en 0.</v>
      </c>
    </row>
    <row r="27" spans="2:7" x14ac:dyDescent="0.3">
      <c r="B27" s="4" t="s">
        <v>87</v>
      </c>
      <c r="C27" s="26">
        <f>D15</f>
        <v>5</v>
      </c>
      <c r="D27" s="26">
        <f>E22</f>
        <v>4</v>
      </c>
      <c r="E27" s="25">
        <f>C27-D27</f>
        <v>1</v>
      </c>
      <c r="F27" s="28" t="str">
        <f>IF(E27&gt;0,"SÍ CONVIENE","NO CONVIENE")</f>
        <v>SÍ CONVIENE</v>
      </c>
      <c r="G27" s="4" t="str">
        <f>"c3 - z3 = " &amp; TEXT(E27,"+0.00;-0.00;0.00") &amp; IF(E27&gt;0," &gt; 0. Conviene producirlo (entraría a la base de Simplex mejorando Z).",IF(E27&lt;0," &lt; 0. El producto pierde " &amp; TEXT(-E27,"$#,##0.00") &amp; " frente a las alternativas. x3 queda en 0."," = 0. Cero alternativo. No altera la ganancia total óptima."))</f>
        <v>c3 - z3 = +1.00 &gt; 0. Conviene producirlo (entraría a la base de Simplex mejorando Z).</v>
      </c>
    </row>
    <row r="28" spans="2:7" x14ac:dyDescent="0.3">
      <c r="B28" s="4" t="s">
        <v>88</v>
      </c>
      <c r="C28" s="26">
        <f>E22</f>
        <v>4</v>
      </c>
      <c r="D28" s="26">
        <f>E22</f>
        <v>4</v>
      </c>
      <c r="E28" s="25">
        <f>C28-D28</f>
        <v>0</v>
      </c>
      <c r="F28" s="29" t="str">
        <f>IF(E28&gt;0,"SÍ CONVIENE",IF(E28&lt;0,"NO CONVIENE","INDIFERENTE"))</f>
        <v>INDIFERENTE</v>
      </c>
      <c r="G28" s="4" t="str">
        <f>"c3 - z3 = " &amp; TEXT(E28,"+0.00;-0.00;0.00") &amp; IF(E28&gt;0," &gt; 0. Conviene producirlo (entraría a la base de Simplex mejorando Z).",IF(E28&lt;0," &lt; 0. El producto pierde " &amp; TEXT(-E28,"$#,##0.00") &amp; " frente a las alternativas. x3 queda en 0."," = 0. Cero alternativo. No altera la ganancia total óptima."))</f>
        <v>c3 - z3 = 0.00 = 0. Cero alternativo. No altera la ganancia total óptima.</v>
      </c>
    </row>
    <row r="31" spans="2:7" x14ac:dyDescent="0.3">
      <c r="B31" s="1" t="s">
        <v>89</v>
      </c>
    </row>
    <row r="32" spans="2:7" x14ac:dyDescent="0.3">
      <c r="B32" s="8" t="s">
        <v>90</v>
      </c>
    </row>
    <row r="33" spans="2:9" x14ac:dyDescent="0.3">
      <c r="B33" s="11" t="s">
        <v>91</v>
      </c>
      <c r="C33" s="11" t="s">
        <v>92</v>
      </c>
      <c r="D33" s="11" t="s">
        <v>97</v>
      </c>
      <c r="E33" s="11" t="s">
        <v>93</v>
      </c>
      <c r="F33" s="11" t="s">
        <v>94</v>
      </c>
    </row>
    <row r="34" spans="2:9" x14ac:dyDescent="0.3">
      <c r="B34" s="30">
        <v>2</v>
      </c>
      <c r="C34" s="30">
        <f t="shared" ref="C34:C42" si="0">$E$22</f>
        <v>4</v>
      </c>
      <c r="D34" s="30">
        <f>B34-C34</f>
        <v>-2</v>
      </c>
      <c r="E34" s="28" t="str">
        <f>IF(D34&gt;0,"FABRICAR",IF(D34&lt;0,"NO FABRICAR","INDIFERENTE"))</f>
        <v>NO FABRICAR</v>
      </c>
      <c r="F34" s="23" t="str">
        <f>IF(E34="NO FABRICAR","x3 = 0 (Se mantiene mix original: " &amp; TEXT('1. Modelo y TOP'!D20,"#,##0") &amp; " yogures, " &amp; TEXT('1. Modelo y TOP'!D21,"#,##0") &amp; " bebidas, Z=" &amp; TEXT('1. Modelo y TOP'!D22,"\$#,##0.00") &amp; ")",IF(E34="INDIFERENTE","Solución múltiple (0 alternativo): no varía Z=" &amp; TEXT('1. Modelo y TOP'!D22,"\$#,##0.00"),"x3 entra a la base: desplaza unidades de x1 y aumenta Z &gt; " &amp; TEXT('1. Modelo y TOP'!D22,"\$#,##0.00")))</f>
        <v>x3 = 0 (Se mantiene mix original: 150 yogures, 100 bebidas, Z=$1,800.00)</v>
      </c>
    </row>
    <row r="35" spans="2:9" x14ac:dyDescent="0.3">
      <c r="B35" s="30">
        <v>2.5</v>
      </c>
      <c r="C35" s="30">
        <f t="shared" si="0"/>
        <v>4</v>
      </c>
      <c r="D35" s="30">
        <f>B35-C35</f>
        <v>-1.5</v>
      </c>
      <c r="E35" s="28" t="str">
        <f>IF(D35&gt;0,"FABRICAR",IF(D35&lt;0,"NO FABRICAR","INDIFERENTE"))</f>
        <v>NO FABRICAR</v>
      </c>
      <c r="F35" s="23" t="str">
        <f>IF(E35="NO FABRICAR","x3 = 0 (Se mantiene mix original: " &amp; TEXT('1. Modelo y TOP'!D20,"#,##0") &amp; " yogures, " &amp; TEXT('1. Modelo y TOP'!D21,"#,##0") &amp; " bebidas, Z=" &amp; TEXT('1. Modelo y TOP'!D22,"\$#,##0.00") &amp; ")",IF(E35="INDIFERENTE","Solución múltiple (0 alternativo): no varía Z=" &amp; TEXT('1. Modelo y TOP'!D22,"\$#,##0.00"),"x3 entra a la base: desplaza unidades de x1 y aumenta Z &gt; " &amp; TEXT('1. Modelo y TOP'!D22,"\$#,##0.00")))</f>
        <v>x3 = 0 (Se mantiene mix original: 150 yogures, 100 bebidas, Z=$1,800.00)</v>
      </c>
    </row>
    <row r="36" spans="2:9" x14ac:dyDescent="0.3">
      <c r="B36" s="30">
        <v>3</v>
      </c>
      <c r="C36" s="30">
        <f t="shared" si="0"/>
        <v>4</v>
      </c>
      <c r="D36" s="30">
        <f>B36-C36</f>
        <v>-1</v>
      </c>
      <c r="E36" s="28" t="str">
        <f>IF(D36&gt;0,"FABRICAR",IF(D36&lt;0,"NO FABRICAR","INDIFERENTE"))</f>
        <v>NO FABRICAR</v>
      </c>
      <c r="F36" s="23" t="str">
        <f>IF(E36="NO FABRICAR","x3 = 0 (Se mantiene mix original: " &amp; TEXT('1. Modelo y TOP'!D20,"#,##0") &amp; " yogures, " &amp; TEXT('1. Modelo y TOP'!D21,"#,##0") &amp; " bebidas, Z=" &amp; TEXT('1. Modelo y TOP'!D22,"\$#,##0.00") &amp; ")",IF(E36="INDIFERENTE","Solución múltiple (0 alternativo): no varía Z=" &amp; TEXT('1. Modelo y TOP'!D22,"\$#,##0.00"),"x3 entra a la base: desplaza unidades de x1 y aumenta Z &gt; " &amp; TEXT('1. Modelo y TOP'!D22,"\$#,##0.00")))</f>
        <v>x3 = 0 (Se mantiene mix original: 150 yogures, 100 bebidas, Z=$1,800.00)</v>
      </c>
    </row>
    <row r="37" spans="2:9" x14ac:dyDescent="0.3">
      <c r="B37" s="30">
        <v>3.5</v>
      </c>
      <c r="C37" s="30">
        <f t="shared" si="0"/>
        <v>4</v>
      </c>
      <c r="D37" s="30">
        <f>B37-C37</f>
        <v>-0.5</v>
      </c>
      <c r="E37" s="28" t="str">
        <f>IF(D37&gt;0,"FABRICAR",IF(D37&lt;0,"NO FABRICAR","INDIFERENTE"))</f>
        <v>NO FABRICAR</v>
      </c>
      <c r="F37" s="23" t="str">
        <f>IF(E37="NO FABRICAR","x3 = 0 (Se mantiene mix original: " &amp; TEXT('1. Modelo y TOP'!D20,"#,##0") &amp; " yogures, " &amp; TEXT('1. Modelo y TOP'!D21,"#,##0") &amp; " bebidas, Z=" &amp; TEXT('1. Modelo y TOP'!D22,"\$#,##0.00") &amp; ")",IF(E37="INDIFERENTE","Solución múltiple (0 alternativo): no varía Z=" &amp; TEXT('1. Modelo y TOP'!D22,"\$#,##0.00"),"x3 entra a la base: desplaza unidades de x1 y aumenta Z &gt; " &amp; TEXT('1. Modelo y TOP'!D22,"\$#,##0.00")))</f>
        <v>x3 = 0 (Se mantiene mix original: 150 yogures, 100 bebidas, Z=$1,800.00)</v>
      </c>
    </row>
    <row r="38" spans="2:9" x14ac:dyDescent="0.3">
      <c r="B38" s="30">
        <v>4</v>
      </c>
      <c r="C38" s="30">
        <f t="shared" si="0"/>
        <v>4</v>
      </c>
      <c r="D38" s="30">
        <f>B38-C38</f>
        <v>0</v>
      </c>
      <c r="E38" s="29" t="str">
        <f>IF(D38&gt;0,"FABRICAR",IF(D38&lt;0,"NO FABRICAR","INDIFERENTE"))</f>
        <v>INDIFERENTE</v>
      </c>
      <c r="F38" s="23" t="str">
        <f>IF(E38="NO FABRICAR","x3 = 0 (Se mantiene mix original: " &amp; TEXT('1. Modelo y TOP'!D20,"#,##0") &amp; " yogures, " &amp; TEXT('1. Modelo y TOP'!D21,"#,##0") &amp; " bebidas, Z=" &amp; TEXT('1. Modelo y TOP'!D22,"\$#,##0.00") &amp; ")",IF(E38="INDIFERENTE","Solución múltiple (0 alternativo): no varía Z=" &amp; TEXT('1. Modelo y TOP'!D22,"\$#,##0.00"),"x3 entra a la base: desplaza unidades de x1 y aumenta Z &gt; " &amp; TEXT('1. Modelo y TOP'!D22,"\$#,##0.00")))</f>
        <v>Solución múltiple (0 alternativo): no varía Z=$1,800.00</v>
      </c>
    </row>
    <row r="39" spans="2:9" x14ac:dyDescent="0.3">
      <c r="B39" s="30">
        <v>4.5</v>
      </c>
      <c r="C39" s="30">
        <f t="shared" si="0"/>
        <v>4</v>
      </c>
      <c r="D39" s="30">
        <f>B39-C39</f>
        <v>0.5</v>
      </c>
      <c r="E39" s="31" t="str">
        <f>IF(D39&gt;0,"FABRICAR",IF(D39&lt;0,"NO FABRICAR","INDIFERENTE"))</f>
        <v>FABRICAR</v>
      </c>
      <c r="F39" s="23" t="str">
        <f>IF(E39="NO FABRICAR","x3 = 0 (Se mantiene mix original: " &amp; TEXT('1. Modelo y TOP'!D20,"#,##0") &amp; " yogures, " &amp; TEXT('1. Modelo y TOP'!D21,"#,##0") &amp; " bebidas, Z=" &amp; TEXT('1. Modelo y TOP'!D22,"\$#,##0.00") &amp; ")",IF(E39="INDIFERENTE","Solución múltiple (0 alternativo): no varía Z=" &amp; TEXT('1. Modelo y TOP'!D22,"\$#,##0.00"),"x3 entra a la base: desplaza unidades de x1 y aumenta Z &gt; " &amp; TEXT('1. Modelo y TOP'!D22,"\$#,##0.00")))</f>
        <v>x3 entra a la base: desplaza unidades de x1 y aumenta Z &gt; $1,800.00</v>
      </c>
    </row>
    <row r="40" spans="2:9" x14ac:dyDescent="0.3">
      <c r="B40" s="30">
        <v>5</v>
      </c>
      <c r="C40" s="30">
        <f t="shared" si="0"/>
        <v>4</v>
      </c>
      <c r="D40" s="30">
        <f>B40-C40</f>
        <v>1</v>
      </c>
      <c r="E40" s="31" t="str">
        <f>IF(D40&gt;0,"FABRICAR",IF(D40&lt;0,"NO FABRICAR","INDIFERENTE"))</f>
        <v>FABRICAR</v>
      </c>
      <c r="F40" s="23" t="str">
        <f>IF(E40="NO FABRICAR","x3 = 0 (Se mantiene mix original: " &amp; TEXT('1. Modelo y TOP'!D20,"#,##0") &amp; " yogures, " &amp; TEXT('1. Modelo y TOP'!D21,"#,##0") &amp; " bebidas, Z=" &amp; TEXT('1. Modelo y TOP'!D22,"\$#,##0.00") &amp; ")",IF(E40="INDIFERENTE","Solución múltiple (0 alternativo): no varía Z=" &amp; TEXT('1. Modelo y TOP'!D22,"\$#,##0.00"),"x3 entra a la base: desplaza unidades de x1 y aumenta Z &gt; " &amp; TEXT('1. Modelo y TOP'!D22,"\$#,##0.00")))</f>
        <v>x3 entra a la base: desplaza unidades de x1 y aumenta Z &gt; $1,800.00</v>
      </c>
    </row>
    <row r="41" spans="2:9" x14ac:dyDescent="0.3">
      <c r="B41" s="30">
        <v>5.5</v>
      </c>
      <c r="C41" s="30">
        <f t="shared" si="0"/>
        <v>4</v>
      </c>
      <c r="D41" s="30">
        <f>B41-C41</f>
        <v>1.5</v>
      </c>
      <c r="E41" s="31" t="str">
        <f>IF(D41&gt;0,"FABRICAR",IF(D41&lt;0,"NO FABRICAR","INDIFERENTE"))</f>
        <v>FABRICAR</v>
      </c>
      <c r="F41" s="23" t="str">
        <f>IF(E41="NO FABRICAR","x3 = 0 (Se mantiene mix original: " &amp; TEXT('1. Modelo y TOP'!D20,"#,##0") &amp; " yogures, " &amp; TEXT('1. Modelo y TOP'!D21,"#,##0") &amp; " bebidas, Z=" &amp; TEXT('1. Modelo y TOP'!D22,"\$#,##0.00") &amp; ")",IF(E41="INDIFERENTE","Solución múltiple (0 alternativo): no varía Z=" &amp; TEXT('1. Modelo y TOP'!D22,"\$#,##0.00"),"x3 entra a la base: desplaza unidades de x1 y aumenta Z &gt; " &amp; TEXT('1. Modelo y TOP'!D22,"\$#,##0.00")))</f>
        <v>x3 entra a la base: desplaza unidades de x1 y aumenta Z &gt; $1,800.00</v>
      </c>
    </row>
    <row r="42" spans="2:9" x14ac:dyDescent="0.3">
      <c r="B42" s="30">
        <v>6</v>
      </c>
      <c r="C42" s="30">
        <f t="shared" si="0"/>
        <v>4</v>
      </c>
      <c r="D42" s="30">
        <f>B42-C42</f>
        <v>2</v>
      </c>
      <c r="E42" s="31" t="str">
        <f>IF(D42&gt;0,"FABRICAR",IF(D42&lt;0,"NO FABRICAR","INDIFERENTE"))</f>
        <v>FABRICAR</v>
      </c>
      <c r="F42" s="23" t="str">
        <f>IF(E42="NO FABRICAR","x3 = 0 (Se mantiene mix original: " &amp; TEXT('1. Modelo y TOP'!D20,"#,##0") &amp; " yogures, " &amp; TEXT('1. Modelo y TOP'!D21,"#,##0") &amp; " bebidas, Z=" &amp; TEXT('1. Modelo y TOP'!D22,"\$#,##0.00") &amp; ")",IF(E42="INDIFERENTE","Solución múltiple (0 alternativo): no varía Z=" &amp; TEXT('1. Modelo y TOP'!D22,"\$#,##0.00"),"x3 entra a la base: desplaza unidades de x1 y aumenta Z &gt; " &amp; TEXT('1. Modelo y TOP'!D22,"\$#,##0.00")))</f>
        <v>x3 entra a la base: desplaza unidades de x1 y aumenta Z &gt; $1,800.00</v>
      </c>
    </row>
    <row r="45" spans="2:9" x14ac:dyDescent="0.3">
      <c r="B45" s="1" t="s">
        <v>95</v>
      </c>
    </row>
    <row r="46" spans="2:9" x14ac:dyDescent="0.3">
      <c r="B46" s="32" t="str">
        <f>"Si el producto 3 ingresara a la base (ej. a $" &amp; TEXT(D15,"#,##0.00") &amp; "), ¿a qué productos desplaza?" &amp; CHAR(10) &amp; "Se calcula con la matriz inversa B^-1 de la TOP multiplicada por los consumos A3:" &amp; CHAR(10) &amp; "Y3 = B^-1 · A3 = [[ " &amp; TEXT('1. Modelo y TOP'!G20,"0.000") &amp; ", " &amp; TEXT('1. Modelo y TOP'!H20,"0.000") &amp; " ], [ " &amp; TEXT('1. Modelo y TOP'!G21,"0.000") &amp; ", " &amp; TEXT('1. Modelo y TOP'!H21,"0.000") &amp; " ]] · [ " &amp; TEXT(D12,"#,##0") &amp; ", " &amp; TEXT(D13,"#,##0") &amp; " ]^T = [ " &amp; TEXT('1. Modelo y TOP'!G20*D12+'1. Modelo y TOP'!H20*D13,"0.00") &amp; ", " &amp; TEXT('1. Modelo y TOP'!G21*D12+'1. Modelo y TOP'!H21*D13,"0.00") &amp; " ]^T" &amp; CHAR(10) &amp; "Interpretación: Por cada envase de postre (x3) que se fabrique, se debe reducir " &amp; TEXT('1. Modelo y TOP'!G20*D12+'1. Modelo y TOP'!H20*D13,"#,##0.0") &amp; " envases de yogur (x1) y " &amp; TEXT('1. Modelo y TOP'!G21*D12+'1. Modelo y TOP'!H21*D13,"#,##0.0") &amp; " envases de bebida (x2). ¡Tampoco requiere rehacer la tabla entera!"</f>
        <v>Si el producto 3 ingresara a la base (ej. a $5.00), ¿a qué productos desplaza?
Se calcula con la matriz inversa B^-1 de la TOP multiplicada por los consumos A3:
Y3 = B^-1 · A3 = [[ -0.250, 0.375 ], [ 0.500, -0.250 ]] · [ 1, 2 ]^T = [ 0.50, 0.00 ]^T
Interpretación: Por cada envase de postre (x3) que se fabrique, se debe reducir 0.5 envases de yogur (x1) y 0.0 envases de bebida (x2). ¡Tampoco requiere rehacer la tabla entera!</v>
      </c>
      <c r="C46" s="33"/>
      <c r="D46" s="33"/>
      <c r="E46" s="33"/>
      <c r="F46" s="33"/>
      <c r="G46" s="33"/>
      <c r="H46" s="33"/>
      <c r="I46" s="33"/>
    </row>
    <row r="47" spans="2:9" x14ac:dyDescent="0.3">
      <c r="B47" s="33"/>
      <c r="C47" s="33"/>
      <c r="D47" s="33"/>
      <c r="E47" s="33"/>
      <c r="F47" s="33"/>
      <c r="G47" s="33"/>
      <c r="H47" s="33"/>
      <c r="I47" s="33"/>
    </row>
    <row r="48" spans="2:9" x14ac:dyDescent="0.3">
      <c r="B48" s="33"/>
      <c r="C48" s="33"/>
      <c r="D48" s="33"/>
      <c r="E48" s="33"/>
      <c r="F48" s="33"/>
      <c r="G48" s="33"/>
      <c r="H48" s="33"/>
      <c r="I48" s="33"/>
    </row>
    <row r="49" spans="2:9" x14ac:dyDescent="0.3">
      <c r="B49" s="33"/>
      <c r="C49" s="33"/>
      <c r="D49" s="33"/>
      <c r="E49" s="33"/>
      <c r="F49" s="33"/>
      <c r="G49" s="33"/>
      <c r="H49" s="33"/>
      <c r="I49" s="33"/>
    </row>
  </sheetData>
  <mergeCells count="2">
    <mergeCell ref="B46:I49"/>
    <mergeCell ref="B6:I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1. Modelo y TOP</vt:lpstr>
      <vt:lpstr>2. Analisis Post-Optimo (P3)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Uriel Villalonga</cp:lastModifiedBy>
  <dcterms:created xsi:type="dcterms:W3CDTF">2026-09-26T12:36:20Z</dcterms:created>
  <dcterms:modified xsi:type="dcterms:W3CDTF">2026-09-26T13:18:53Z</dcterms:modified>
</cp:coreProperties>
</file>