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9a161ea31542415b/UTN/4to Año/IO/Unidades/Unidad 2/"/>
    </mc:Choice>
  </mc:AlternateContent>
  <xr:revisionPtr revIDLastSave="47" documentId="8_{AF29BA5A-9BF3-40F1-AB47-0F3894906BB7}" xr6:coauthVersionLast="47" xr6:coauthVersionMax="47" xr10:uidLastSave="{CD3966D9-D2EE-444C-B978-85C88D9D8E5F}"/>
  <bookViews>
    <workbookView xWindow="-108" yWindow="-108" windowWidth="23256" windowHeight="12456" xr2:uid="{00000000-000D-0000-FFFF-FFFF00000000}"/>
  </bookViews>
  <sheets>
    <sheet name="Filas de esper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 l="1"/>
  <c r="C3" i="1"/>
  <c r="M33" i="1" s="1"/>
  <c r="M31" i="1" s="1"/>
  <c r="E3" i="1" l="1"/>
  <c r="M8" i="1"/>
  <c r="M34" i="1" s="1"/>
  <c r="M51" i="1" l="1"/>
  <c r="M50" i="1"/>
  <c r="M48" i="1" s="1"/>
  <c r="M44" i="1" s="1"/>
  <c r="M42" i="1" s="1"/>
  <c r="M39" i="1" s="1"/>
  <c r="M52" i="1"/>
  <c r="M25" i="1"/>
  <c r="O8" i="1" s="1"/>
  <c r="O25" i="1" s="1"/>
  <c r="M15" i="1"/>
  <c r="M13" i="1" l="1"/>
  <c r="M21" i="1"/>
  <c r="M20" i="1"/>
  <c r="M18" i="1" s="1"/>
</calcChain>
</file>

<file path=xl/sharedStrings.xml><?xml version="1.0" encoding="utf-8"?>
<sst xmlns="http://schemas.openxmlformats.org/spreadsheetml/2006/main" count="45" uniqueCount="35">
  <si>
    <t>Los trabajadores de una fábrica tienen que llevar su trabajo al departamento de control de calidad antes de que el producto llegue al final del proceso de producción. Hay un gran número de empleados y las llegadas son aproximadamente de 2,50 trabajadores cada 5 minutos, siguiendo un proceso de Poisson. El único inspector de la compañía inspecciona una pieza según una distribución exponencial de media 1,5 minutos. Considerar cola única. Determinar:</t>
  </si>
  <si>
    <t>a.-  Número medio de obreros en cola.</t>
  </si>
  <si>
    <t>λ =</t>
  </si>
  <si>
    <t>2,5 tr / 5 min =</t>
  </si>
  <si>
    <t>tr/hr</t>
  </si>
  <si>
    <t>µ =</t>
  </si>
  <si>
    <t>60/1,5 tr/hr =</t>
  </si>
  <si>
    <t>M/M/1</t>
  </si>
  <si>
    <t>Lq =</t>
  </si>
  <si>
    <t>Wq=</t>
  </si>
  <si>
    <t>L=</t>
  </si>
  <si>
    <t>tr</t>
  </si>
  <si>
    <t>CT=</t>
  </si>
  <si>
    <t>$/hr</t>
  </si>
  <si>
    <t>M/M/2</t>
  </si>
  <si>
    <t>Lq=</t>
  </si>
  <si>
    <t>P0=</t>
  </si>
  <si>
    <t>Es rentable?</t>
  </si>
  <si>
    <t>hr</t>
  </si>
  <si>
    <t>n0</t>
  </si>
  <si>
    <t>n1</t>
  </si>
  <si>
    <t>n2</t>
  </si>
  <si>
    <t>b.- Probabilidad de que haya 3 obreros en cola</t>
  </si>
  <si>
    <t>P(3) =</t>
  </si>
  <si>
    <t>P(0) =</t>
  </si>
  <si>
    <t>Pn&gt;3 = 1-P0-P1-P2-P3</t>
  </si>
  <si>
    <t>Pn&gt;3 =</t>
  </si>
  <si>
    <t>P(1) =</t>
  </si>
  <si>
    <t>P(2) =</t>
  </si>
  <si>
    <t>d.-  Tiempo medio de espera en la cola.</t>
  </si>
  <si>
    <t>e.-  El costo para la empresa, si una hora del Inspector vale $ 300 y una hora del Trabajador $ 500.</t>
  </si>
  <si>
    <t>f.-  ¿Sería rentable poner otro Inspector?</t>
  </si>
  <si>
    <t>c.- Probabilidad de que haya más de 3 obreros en cola</t>
  </si>
  <si>
    <t>Sí</t>
  </si>
  <si>
    <t>.=rho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</si>
</sst>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rgb="FF000000"/>
      <name val="Calibri"/>
      <family val="2"/>
      <scheme val="minor"/>
    </font>
    <font>
      <sz val="11"/>
      <color theme="1"/>
      <name val="Calibri"/>
      <family val="2"/>
      <scheme val="minor"/>
    </font>
    <font>
      <sz val="1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4">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9" fontId="2" fillId="0" borderId="0" applyFont="0" applyFill="0" applyBorder="0" applyAlignment="0" applyProtection="0"/>
  </cellStyleXfs>
  <cellXfs count="20">
    <xf numFmtId="0" fontId="0" fillId="0" borderId="0" xfId="0"/>
    <xf numFmtId="0" fontId="1" fillId="0" borderId="0" xfId="0" applyFont="1" applyAlignment="1">
      <alignment horizontal="left" vertical="center" readingOrder="1"/>
    </xf>
    <xf numFmtId="0" fontId="1" fillId="0" borderId="0" xfId="0" applyFont="1" applyAlignment="1">
      <alignment horizontal="center" vertical="center" readingOrder="1"/>
    </xf>
    <xf numFmtId="0" fontId="0" fillId="0" borderId="0" xfId="0" applyAlignment="1">
      <alignment horizontal="center"/>
    </xf>
    <xf numFmtId="0" fontId="1" fillId="0" borderId="0" xfId="0" applyFont="1" applyAlignment="1">
      <alignment horizontal="center" vertical="center" wrapText="1" readingOrder="1"/>
    </xf>
    <xf numFmtId="0" fontId="0" fillId="0" borderId="0" xfId="0" applyAlignment="1">
      <alignment horizontal="right"/>
    </xf>
    <xf numFmtId="0" fontId="0" fillId="0" borderId="1" xfId="0" applyBorder="1" applyAlignment="1">
      <alignment horizontal="center"/>
    </xf>
    <xf numFmtId="0" fontId="0" fillId="0" borderId="2" xfId="0" applyBorder="1" applyAlignment="1">
      <alignment horizontal="center"/>
    </xf>
    <xf numFmtId="0" fontId="0" fillId="0" borderId="1" xfId="0" applyBorder="1" applyAlignment="1">
      <alignment horizontal="right"/>
    </xf>
    <xf numFmtId="0" fontId="0" fillId="0" borderId="3" xfId="0" applyBorder="1"/>
    <xf numFmtId="0" fontId="1" fillId="2" borderId="0" xfId="0" applyFont="1" applyFill="1" applyAlignment="1">
      <alignment horizontal="center" vertical="center" wrapText="1" readingOrder="1"/>
    </xf>
    <xf numFmtId="0" fontId="0" fillId="3" borderId="0" xfId="0" applyFill="1"/>
    <xf numFmtId="0" fontId="0" fillId="0" borderId="0" xfId="1" applyNumberFormat="1" applyFont="1" applyAlignment="1">
      <alignment horizontal="center"/>
    </xf>
    <xf numFmtId="2" fontId="0" fillId="0" borderId="1" xfId="1" applyNumberFormat="1" applyFont="1" applyBorder="1" applyAlignment="1">
      <alignment horizontal="center"/>
    </xf>
    <xf numFmtId="2" fontId="0" fillId="0" borderId="0" xfId="1" applyNumberFormat="1" applyFont="1" applyBorder="1" applyAlignment="1">
      <alignment horizontal="center"/>
    </xf>
    <xf numFmtId="2" fontId="0" fillId="0" borderId="2" xfId="0" applyNumberFormat="1" applyBorder="1" applyAlignment="1">
      <alignment horizontal="center"/>
    </xf>
    <xf numFmtId="0" fontId="3" fillId="3" borderId="0" xfId="0" applyFont="1" applyFill="1" applyAlignment="1">
      <alignment horizontal="center"/>
    </xf>
    <xf numFmtId="0" fontId="0" fillId="3" borderId="0" xfId="0" applyFill="1" applyAlignment="1">
      <alignment horizontal="center"/>
    </xf>
    <xf numFmtId="0" fontId="1" fillId="0" borderId="0" xfId="0" applyFont="1" applyAlignment="1">
      <alignment horizontal="left" vertical="top" wrapText="1" readingOrder="1"/>
    </xf>
    <xf numFmtId="0" fontId="1" fillId="0" borderId="0" xfId="0" applyFont="1" applyAlignment="1">
      <alignment horizontal="center" vertical="center" wrapText="1" readingOrder="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266700</xdr:colOff>
      <xdr:row>6</xdr:row>
      <xdr:rowOff>171450</xdr:rowOff>
    </xdr:from>
    <xdr:to>
      <xdr:col>9</xdr:col>
      <xdr:colOff>436265</xdr:colOff>
      <xdr:row>9</xdr:row>
      <xdr:rowOff>20198</xdr:rowOff>
    </xdr:to>
    <xdr:pic>
      <xdr:nvPicPr>
        <xdr:cNvPr id="4" name="Picture 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905375" y="2295525"/>
          <a:ext cx="1388765" cy="467873"/>
        </a:xfrm>
        <a:prstGeom prst="rect">
          <a:avLst/>
        </a:prstGeom>
        <a:noFill/>
        <a:ln w="9525">
          <a:noFill/>
          <a:miter lim="800000"/>
          <a:headEnd/>
          <a:tailEnd/>
        </a:ln>
      </xdr:spPr>
    </xdr:pic>
    <xdr:clientData/>
  </xdr:twoCellAnchor>
  <xdr:twoCellAnchor editAs="oneCell">
    <xdr:from>
      <xdr:col>7</xdr:col>
      <xdr:colOff>342900</xdr:colOff>
      <xdr:row>24</xdr:row>
      <xdr:rowOff>0</xdr:rowOff>
    </xdr:from>
    <xdr:to>
      <xdr:col>9</xdr:col>
      <xdr:colOff>523876</xdr:colOff>
      <xdr:row>26</xdr:row>
      <xdr:rowOff>73527</xdr:rowOff>
    </xdr:to>
    <xdr:pic>
      <xdr:nvPicPr>
        <xdr:cNvPr id="5" name="Picture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981575" y="3343275"/>
          <a:ext cx="1400176" cy="483102"/>
        </a:xfrm>
        <a:prstGeom prst="rect">
          <a:avLst/>
        </a:prstGeom>
        <a:noFill/>
        <a:ln w="9525">
          <a:noFill/>
          <a:miter lim="800000"/>
          <a:headEnd/>
          <a:tailEnd/>
        </a:ln>
      </xdr:spPr>
    </xdr:pic>
    <xdr:clientData/>
  </xdr:twoCellAnchor>
  <xdr:twoCellAnchor editAs="oneCell">
    <xdr:from>
      <xdr:col>7</xdr:col>
      <xdr:colOff>381000</xdr:colOff>
      <xdr:row>29</xdr:row>
      <xdr:rowOff>133350</xdr:rowOff>
    </xdr:from>
    <xdr:to>
      <xdr:col>9</xdr:col>
      <xdr:colOff>561975</xdr:colOff>
      <xdr:row>31</xdr:row>
      <xdr:rowOff>9525</xdr:rowOff>
    </xdr:to>
    <xdr:pic>
      <xdr:nvPicPr>
        <xdr:cNvPr id="6" name="Picture 3">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5019675" y="4495800"/>
          <a:ext cx="1400175" cy="295275"/>
        </a:xfrm>
        <a:prstGeom prst="rect">
          <a:avLst/>
        </a:prstGeom>
        <a:noFill/>
        <a:ln w="9525">
          <a:noFill/>
          <a:miter lim="800000"/>
          <a:headEnd/>
          <a:tailEnd/>
        </a:ln>
      </xdr:spPr>
    </xdr:pic>
    <xdr:clientData/>
  </xdr:twoCellAnchor>
  <xdr:twoCellAnchor editAs="oneCell">
    <xdr:from>
      <xdr:col>7</xdr:col>
      <xdr:colOff>142875</xdr:colOff>
      <xdr:row>32</xdr:row>
      <xdr:rowOff>47625</xdr:rowOff>
    </xdr:from>
    <xdr:to>
      <xdr:col>9</xdr:col>
      <xdr:colOff>579859</xdr:colOff>
      <xdr:row>34</xdr:row>
      <xdr:rowOff>61621</xdr:rowOff>
    </xdr:to>
    <xdr:pic>
      <xdr:nvPicPr>
        <xdr:cNvPr id="7" name="Picture 4">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781550" y="5010150"/>
          <a:ext cx="1656184" cy="414046"/>
        </a:xfrm>
        <a:prstGeom prst="rect">
          <a:avLst/>
        </a:prstGeom>
        <a:noFill/>
        <a:ln w="9525">
          <a:noFill/>
          <a:miter lim="800000"/>
          <a:headEnd/>
          <a:tailEnd/>
        </a:ln>
      </xdr:spPr>
    </xdr:pic>
    <xdr:clientData/>
  </xdr:twoCellAnchor>
  <xdr:twoCellAnchor editAs="oneCell">
    <xdr:from>
      <xdr:col>7</xdr:col>
      <xdr:colOff>333375</xdr:colOff>
      <xdr:row>37</xdr:row>
      <xdr:rowOff>171450</xdr:rowOff>
    </xdr:from>
    <xdr:to>
      <xdr:col>9</xdr:col>
      <xdr:colOff>514350</xdr:colOff>
      <xdr:row>39</xdr:row>
      <xdr:rowOff>47625</xdr:rowOff>
    </xdr:to>
    <xdr:pic>
      <xdr:nvPicPr>
        <xdr:cNvPr id="9" name="Picture 3">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4972050" y="6153150"/>
          <a:ext cx="1400175" cy="295275"/>
        </a:xfrm>
        <a:prstGeom prst="rect">
          <a:avLst/>
        </a:prstGeom>
        <a:noFill/>
        <a:ln w="9525">
          <a:noFill/>
          <a:miter lim="800000"/>
          <a:headEnd/>
          <a:tailEnd/>
        </a:ln>
      </xdr:spPr>
    </xdr:pic>
    <xdr:clientData/>
  </xdr:twoCellAnchor>
  <xdr:twoCellAnchor editAs="oneCell">
    <xdr:from>
      <xdr:col>8</xdr:col>
      <xdr:colOff>314325</xdr:colOff>
      <xdr:row>40</xdr:row>
      <xdr:rowOff>76200</xdr:rowOff>
    </xdr:from>
    <xdr:to>
      <xdr:col>9</xdr:col>
      <xdr:colOff>476250</xdr:colOff>
      <xdr:row>42</xdr:row>
      <xdr:rowOff>28575</xdr:rowOff>
    </xdr:to>
    <xdr:pic>
      <xdr:nvPicPr>
        <xdr:cNvPr id="10" name="Imagen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5"/>
        <a:stretch>
          <a:fillRect/>
        </a:stretch>
      </xdr:blipFill>
      <xdr:spPr>
        <a:xfrm>
          <a:off x="5562600" y="6677025"/>
          <a:ext cx="771525" cy="333375"/>
        </a:xfrm>
        <a:prstGeom prst="rect">
          <a:avLst/>
        </a:prstGeom>
      </xdr:spPr>
    </xdr:pic>
    <xdr:clientData/>
  </xdr:twoCellAnchor>
  <xdr:twoCellAnchor editAs="oneCell">
    <xdr:from>
      <xdr:col>7</xdr:col>
      <xdr:colOff>209550</xdr:colOff>
      <xdr:row>42</xdr:row>
      <xdr:rowOff>171450</xdr:rowOff>
    </xdr:from>
    <xdr:to>
      <xdr:col>10</xdr:col>
      <xdr:colOff>86257</xdr:colOff>
      <xdr:row>45</xdr:row>
      <xdr:rowOff>57336</xdr:rowOff>
    </xdr:to>
    <xdr:pic>
      <xdr:nvPicPr>
        <xdr:cNvPr id="11" name="Picture 6">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848225" y="7153275"/>
          <a:ext cx="1705507" cy="457386"/>
        </a:xfrm>
        <a:prstGeom prst="rect">
          <a:avLst/>
        </a:prstGeom>
        <a:noFill/>
        <a:ln w="9525">
          <a:noFill/>
          <a:miter lim="800000"/>
          <a:headEnd/>
          <a:tailEnd/>
        </a:ln>
      </xdr:spPr>
    </xdr:pic>
    <xdr:clientData/>
  </xdr:twoCellAnchor>
  <xdr:twoCellAnchor editAs="oneCell">
    <xdr:from>
      <xdr:col>6</xdr:col>
      <xdr:colOff>333375</xdr:colOff>
      <xdr:row>46</xdr:row>
      <xdr:rowOff>180975</xdr:rowOff>
    </xdr:from>
    <xdr:to>
      <xdr:col>9</xdr:col>
      <xdr:colOff>600075</xdr:colOff>
      <xdr:row>49</xdr:row>
      <xdr:rowOff>117475</xdr:rowOff>
    </xdr:to>
    <xdr:pic>
      <xdr:nvPicPr>
        <xdr:cNvPr id="12" name="Picture 5">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4362450" y="7924800"/>
          <a:ext cx="2095500" cy="508000"/>
        </a:xfrm>
        <a:prstGeom prst="rect">
          <a:avLst/>
        </a:prstGeom>
        <a:noFill/>
        <a:ln w="9525">
          <a:noFill/>
          <a:miter lim="800000"/>
          <a:headEnd/>
          <a:tailEnd/>
        </a:ln>
      </xdr:spPr>
    </xdr:pic>
    <xdr:clientData/>
  </xdr:twoCellAnchor>
  <xdr:twoCellAnchor>
    <xdr:from>
      <xdr:col>14</xdr:col>
      <xdr:colOff>95250</xdr:colOff>
      <xdr:row>29</xdr:row>
      <xdr:rowOff>104775</xdr:rowOff>
    </xdr:from>
    <xdr:to>
      <xdr:col>15</xdr:col>
      <xdr:colOff>314325</xdr:colOff>
      <xdr:row>39</xdr:row>
      <xdr:rowOff>19050</xdr:rowOff>
    </xdr:to>
    <xdr:sp macro="" textlink="">
      <xdr:nvSpPr>
        <xdr:cNvPr id="22" name="Flecha: curvada hacia la izquierda 21">
          <a:extLst>
            <a:ext uri="{FF2B5EF4-FFF2-40B4-BE49-F238E27FC236}">
              <a16:creationId xmlns:a16="http://schemas.microsoft.com/office/drawing/2014/main" id="{00000000-0008-0000-0000-000016000000}"/>
            </a:ext>
          </a:extLst>
        </xdr:cNvPr>
        <xdr:cNvSpPr/>
      </xdr:nvSpPr>
      <xdr:spPr>
        <a:xfrm flipV="1">
          <a:off x="8572500" y="4467225"/>
          <a:ext cx="828675" cy="1952625"/>
        </a:xfrm>
        <a:prstGeom prst="curved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solidFill>
              <a:schemeClr val="tx1"/>
            </a:solidFill>
          </a:endParaRPr>
        </a:p>
      </xdr:txBody>
    </xdr:sp>
    <xdr:clientData/>
  </xdr:twoCellAnchor>
  <xdr:twoCellAnchor editAs="oneCell">
    <xdr:from>
      <xdr:col>7</xdr:col>
      <xdr:colOff>85725</xdr:colOff>
      <xdr:row>11</xdr:row>
      <xdr:rowOff>85725</xdr:rowOff>
    </xdr:from>
    <xdr:to>
      <xdr:col>8</xdr:col>
      <xdr:colOff>576695</xdr:colOff>
      <xdr:row>13</xdr:row>
      <xdr:rowOff>57150</xdr:rowOff>
    </xdr:to>
    <xdr:pic>
      <xdr:nvPicPr>
        <xdr:cNvPr id="2" name="Picture 2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8" cstate="print"/>
        <a:srcRect l="42719" t="92076" r="34708" b="366"/>
        <a:stretch/>
      </xdr:blipFill>
      <xdr:spPr bwMode="auto">
        <a:xfrm>
          <a:off x="4724400" y="3228975"/>
          <a:ext cx="1100570" cy="390525"/>
        </a:xfrm>
        <a:prstGeom prst="rect">
          <a:avLst/>
        </a:prstGeom>
        <a:noFill/>
        <a:ln w="9525">
          <a:noFill/>
          <a:miter lim="800000"/>
          <a:headEnd/>
          <a:tailEnd/>
        </a:ln>
      </xdr:spPr>
    </xdr:pic>
    <xdr:clientData/>
  </xdr:twoCellAnchor>
  <xdr:twoCellAnchor editAs="oneCell">
    <xdr:from>
      <xdr:col>7</xdr:col>
      <xdr:colOff>228600</xdr:colOff>
      <xdr:row>14</xdr:row>
      <xdr:rowOff>19050</xdr:rowOff>
    </xdr:from>
    <xdr:to>
      <xdr:col>8</xdr:col>
      <xdr:colOff>477078</xdr:colOff>
      <xdr:row>15</xdr:row>
      <xdr:rowOff>85725</xdr:rowOff>
    </xdr:to>
    <xdr:pic>
      <xdr:nvPicPr>
        <xdr:cNvPr id="3" name="Picture 21">
          <a:extLst>
            <a:ext uri="{FF2B5EF4-FFF2-40B4-BE49-F238E27FC236}">
              <a16:creationId xmlns:a16="http://schemas.microsoft.com/office/drawing/2014/main" id="{00000000-0008-0000-0000-000003000000}"/>
            </a:ext>
          </a:extLst>
        </xdr:cNvPr>
        <xdr:cNvPicPr>
          <a:picLocks noChangeAspect="1" noChangeArrowheads="1"/>
        </xdr:cNvPicPr>
      </xdr:nvPicPr>
      <xdr:blipFill rotWithShape="1">
        <a:blip xmlns:r="http://schemas.openxmlformats.org/officeDocument/2006/relationships" r:embed="rId8" cstate="print"/>
        <a:srcRect l="45632" t="16033" r="36407" b="78699"/>
        <a:stretch/>
      </xdr:blipFill>
      <xdr:spPr bwMode="auto">
        <a:xfrm>
          <a:off x="4867275" y="3781425"/>
          <a:ext cx="858078" cy="2667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2"/>
  <sheetViews>
    <sheetView showGridLines="0" tabSelected="1" topLeftCell="A27" zoomScaleNormal="100" workbookViewId="0">
      <selection activeCell="M39" sqref="M39"/>
    </sheetView>
  </sheetViews>
  <sheetFormatPr defaultColWidth="9.109375" defaultRowHeight="14.4" x14ac:dyDescent="0.3"/>
  <cols>
    <col min="2" max="2" width="14.6640625" bestFit="1" customWidth="1"/>
    <col min="6" max="6" width="12.44140625" bestFit="1" customWidth="1"/>
    <col min="12" max="12" width="2.6640625" customWidth="1"/>
  </cols>
  <sheetData>
    <row r="1" spans="1:15" ht="88.5" customHeight="1" x14ac:dyDescent="0.3">
      <c r="A1" s="19" t="s">
        <v>0</v>
      </c>
      <c r="B1" s="19"/>
      <c r="C1" s="19"/>
      <c r="D1" s="19"/>
      <c r="E1" s="19"/>
      <c r="F1" s="19"/>
      <c r="G1" s="19"/>
      <c r="H1" s="19"/>
      <c r="I1" s="19"/>
      <c r="J1" s="19"/>
      <c r="K1" s="19"/>
    </row>
    <row r="2" spans="1:15" ht="15.6" x14ac:dyDescent="0.3">
      <c r="A2" s="4"/>
      <c r="B2" s="4"/>
      <c r="C2" s="4"/>
      <c r="D2" s="4"/>
      <c r="E2" s="4"/>
      <c r="F2" s="4"/>
      <c r="G2" s="4"/>
      <c r="H2" s="4"/>
      <c r="I2" s="4"/>
      <c r="J2" s="4"/>
      <c r="K2" s="4"/>
    </row>
    <row r="3" spans="1:15" ht="15.6" x14ac:dyDescent="0.3">
      <c r="A3" s="4" t="s">
        <v>2</v>
      </c>
      <c r="B3" s="2" t="s">
        <v>3</v>
      </c>
      <c r="C3" s="4">
        <f>(2.5/5)*60</f>
        <v>30</v>
      </c>
      <c r="D3" s="4" t="s">
        <v>4</v>
      </c>
      <c r="E3" s="10">
        <f>+C3/C4</f>
        <v>0.75</v>
      </c>
      <c r="F3" s="18" t="s">
        <v>34</v>
      </c>
      <c r="G3" s="4"/>
      <c r="H3" s="4"/>
      <c r="I3" s="4"/>
      <c r="J3" s="4"/>
      <c r="K3" s="4"/>
    </row>
    <row r="4" spans="1:15" ht="15.6" x14ac:dyDescent="0.3">
      <c r="A4" s="4" t="s">
        <v>5</v>
      </c>
      <c r="B4" s="2" t="s">
        <v>6</v>
      </c>
      <c r="C4" s="4">
        <f>60/1.5</f>
        <v>40</v>
      </c>
      <c r="D4" s="4" t="s">
        <v>4</v>
      </c>
      <c r="E4" s="4"/>
      <c r="F4" s="4"/>
      <c r="G4" s="4"/>
      <c r="H4" s="4"/>
      <c r="I4" s="4"/>
      <c r="J4" s="4"/>
      <c r="K4" s="4"/>
    </row>
    <row r="5" spans="1:15" ht="15.6" x14ac:dyDescent="0.3">
      <c r="A5" s="4"/>
      <c r="B5" s="4"/>
      <c r="C5" s="4"/>
      <c r="D5" s="4"/>
      <c r="E5" s="4"/>
      <c r="F5" s="4"/>
      <c r="G5" s="4"/>
      <c r="H5" s="4"/>
      <c r="I5" s="4"/>
      <c r="J5" s="4"/>
      <c r="K5" s="4"/>
    </row>
    <row r="6" spans="1:15" ht="15.6" x14ac:dyDescent="0.3">
      <c r="A6" s="1" t="s">
        <v>1</v>
      </c>
    </row>
    <row r="7" spans="1:15" ht="16.2" thickBot="1" x14ac:dyDescent="0.35">
      <c r="A7" s="1" t="s">
        <v>7</v>
      </c>
    </row>
    <row r="8" spans="1:15" ht="16.2" thickBot="1" x14ac:dyDescent="0.35">
      <c r="A8" s="1"/>
      <c r="K8" s="5" t="s">
        <v>8</v>
      </c>
      <c r="M8" s="6">
        <f>+((C3^2)/(C4*(C4-C3)))</f>
        <v>2.25</v>
      </c>
      <c r="N8" s="7" t="s">
        <v>11</v>
      </c>
      <c r="O8" s="11">
        <f>+C3*M25</f>
        <v>2.25</v>
      </c>
    </row>
    <row r="9" spans="1:15" ht="15.6" x14ac:dyDescent="0.3">
      <c r="A9" s="1"/>
    </row>
    <row r="10" spans="1:15" ht="15.6" x14ac:dyDescent="0.3">
      <c r="A10" s="1"/>
    </row>
    <row r="11" spans="1:15" ht="15.6" x14ac:dyDescent="0.3">
      <c r="A11" s="1" t="s">
        <v>22</v>
      </c>
    </row>
    <row r="12" spans="1:15" ht="16.2" thickBot="1" x14ac:dyDescent="0.35">
      <c r="A12" s="1"/>
    </row>
    <row r="13" spans="1:15" ht="16.2" thickBot="1" x14ac:dyDescent="0.35">
      <c r="A13" s="1"/>
      <c r="K13" s="5" t="s">
        <v>23</v>
      </c>
      <c r="M13" s="13">
        <f>+$M$15*($E$3^3)</f>
        <v>0.10546875</v>
      </c>
      <c r="N13" s="7" t="s">
        <v>11</v>
      </c>
    </row>
    <row r="14" spans="1:15" ht="15.6" x14ac:dyDescent="0.3">
      <c r="A14" s="1"/>
    </row>
    <row r="15" spans="1:15" ht="15.6" x14ac:dyDescent="0.3">
      <c r="A15" s="1"/>
      <c r="K15" s="5" t="s">
        <v>24</v>
      </c>
      <c r="M15" s="12">
        <f>1-E3</f>
        <v>0.25</v>
      </c>
    </row>
    <row r="16" spans="1:15" ht="15.6" x14ac:dyDescent="0.3">
      <c r="A16" s="1"/>
    </row>
    <row r="17" spans="1:15" ht="16.2" thickBot="1" x14ac:dyDescent="0.35">
      <c r="A17" s="1" t="s">
        <v>32</v>
      </c>
    </row>
    <row r="18" spans="1:15" ht="16.2" thickBot="1" x14ac:dyDescent="0.35">
      <c r="A18" s="1"/>
      <c r="H18" t="s">
        <v>25</v>
      </c>
      <c r="K18" s="8" t="s">
        <v>26</v>
      </c>
      <c r="L18" s="9"/>
      <c r="M18" s="15">
        <f>1-M15-M20-M21-M13</f>
        <v>0.31640625</v>
      </c>
    </row>
    <row r="19" spans="1:15" ht="15.6" x14ac:dyDescent="0.3">
      <c r="A19" s="1"/>
      <c r="K19" s="5"/>
      <c r="M19" s="3"/>
    </row>
    <row r="20" spans="1:15" ht="15.6" x14ac:dyDescent="0.3">
      <c r="A20" s="1"/>
      <c r="K20" s="5" t="s">
        <v>27</v>
      </c>
      <c r="M20" s="14">
        <f>+$M$15*($E$3^1)</f>
        <v>0.1875</v>
      </c>
    </row>
    <row r="21" spans="1:15" ht="15.6" x14ac:dyDescent="0.3">
      <c r="A21" s="1"/>
      <c r="K21" s="5" t="s">
        <v>28</v>
      </c>
      <c r="M21" s="14">
        <f>+$M$15*($E$3^2)</f>
        <v>0.140625</v>
      </c>
    </row>
    <row r="22" spans="1:15" ht="15.6" x14ac:dyDescent="0.3">
      <c r="A22" s="1"/>
    </row>
    <row r="23" spans="1:15" ht="15.6" x14ac:dyDescent="0.3">
      <c r="A23" s="1" t="s">
        <v>29</v>
      </c>
    </row>
    <row r="24" spans="1:15" ht="16.2" thickBot="1" x14ac:dyDescent="0.35">
      <c r="A24" s="1" t="s">
        <v>7</v>
      </c>
    </row>
    <row r="25" spans="1:15" ht="16.2" thickBot="1" x14ac:dyDescent="0.35">
      <c r="A25" s="1"/>
      <c r="K25" s="5" t="s">
        <v>9</v>
      </c>
      <c r="M25" s="6">
        <f>+E3/(C4*(1-E3))</f>
        <v>7.4999999999999997E-2</v>
      </c>
      <c r="N25" s="7" t="s">
        <v>18</v>
      </c>
      <c r="O25" s="16">
        <f>+O8/C3</f>
        <v>7.4999999999999997E-2</v>
      </c>
    </row>
    <row r="26" spans="1:15" ht="15.6" x14ac:dyDescent="0.3">
      <c r="A26" s="1"/>
    </row>
    <row r="27" spans="1:15" ht="15.6" x14ac:dyDescent="0.3">
      <c r="A27" s="1"/>
    </row>
    <row r="28" spans="1:15" ht="15.6" x14ac:dyDescent="0.3">
      <c r="A28" s="1" t="s">
        <v>30</v>
      </c>
    </row>
    <row r="29" spans="1:15" ht="15.6" x14ac:dyDescent="0.3">
      <c r="A29" s="1" t="s">
        <v>7</v>
      </c>
    </row>
    <row r="30" spans="1:15" ht="16.2" thickBot="1" x14ac:dyDescent="0.35">
      <c r="A30" s="1"/>
    </row>
    <row r="31" spans="1:15" ht="16.2" thickBot="1" x14ac:dyDescent="0.35">
      <c r="A31" s="1"/>
      <c r="K31" s="5" t="s">
        <v>12</v>
      </c>
      <c r="M31" s="6">
        <f>+(M33*500)+(1*300)</f>
        <v>1800</v>
      </c>
      <c r="N31" s="7" t="s">
        <v>13</v>
      </c>
    </row>
    <row r="32" spans="1:15" ht="15.6" x14ac:dyDescent="0.3">
      <c r="A32" s="1"/>
    </row>
    <row r="33" spans="1:17" ht="15.6" x14ac:dyDescent="0.3">
      <c r="A33" s="1"/>
      <c r="K33" s="5" t="s">
        <v>10</v>
      </c>
      <c r="M33" s="3">
        <f>+C3/(C4-C3)</f>
        <v>3</v>
      </c>
      <c r="N33" s="3" t="s">
        <v>11</v>
      </c>
    </row>
    <row r="34" spans="1:17" ht="15.6" x14ac:dyDescent="0.3">
      <c r="A34" s="1"/>
      <c r="M34" s="16">
        <f>+M8+E3</f>
        <v>3</v>
      </c>
    </row>
    <row r="35" spans="1:17" ht="15.6" x14ac:dyDescent="0.3">
      <c r="A35" s="1"/>
      <c r="Q35" t="s">
        <v>17</v>
      </c>
    </row>
    <row r="36" spans="1:17" ht="15.6" x14ac:dyDescent="0.3">
      <c r="A36" s="1" t="s">
        <v>31</v>
      </c>
      <c r="Q36" s="17" t="s">
        <v>33</v>
      </c>
    </row>
    <row r="37" spans="1:17" ht="15.6" x14ac:dyDescent="0.3">
      <c r="A37" s="1" t="s">
        <v>14</v>
      </c>
    </row>
    <row r="38" spans="1:17" ht="16.2" thickBot="1" x14ac:dyDescent="0.35">
      <c r="A38" s="1"/>
    </row>
    <row r="39" spans="1:17" ht="16.2" thickBot="1" x14ac:dyDescent="0.35">
      <c r="A39" s="1"/>
      <c r="K39" s="5" t="s">
        <v>12</v>
      </c>
      <c r="M39" s="6">
        <f>+(M42*500)+(2*300)</f>
        <v>848.86363636363637</v>
      </c>
      <c r="N39" s="7" t="s">
        <v>13</v>
      </c>
    </row>
    <row r="40" spans="1:17" ht="15.6" x14ac:dyDescent="0.3">
      <c r="A40" s="1"/>
    </row>
    <row r="41" spans="1:17" x14ac:dyDescent="0.3">
      <c r="M41" s="3"/>
    </row>
    <row r="42" spans="1:17" x14ac:dyDescent="0.3">
      <c r="K42" s="5" t="s">
        <v>10</v>
      </c>
      <c r="M42" s="3">
        <f>+M44+(C3/(C4*2))</f>
        <v>0.49772727272727274</v>
      </c>
      <c r="N42" s="3" t="s">
        <v>11</v>
      </c>
    </row>
    <row r="43" spans="1:17" x14ac:dyDescent="0.3">
      <c r="M43" s="3"/>
    </row>
    <row r="44" spans="1:17" x14ac:dyDescent="0.3">
      <c r="K44" s="5" t="s">
        <v>15</v>
      </c>
      <c r="M44" s="3">
        <f>+M48*(((E3^2)*C3*C4)/(FACT(1)*(((2*C4)-C3)^2)))</f>
        <v>0.12272727272727273</v>
      </c>
      <c r="N44" s="3" t="s">
        <v>11</v>
      </c>
    </row>
    <row r="45" spans="1:17" x14ac:dyDescent="0.3">
      <c r="M45" s="3"/>
    </row>
    <row r="46" spans="1:17" x14ac:dyDescent="0.3">
      <c r="M46" s="3"/>
    </row>
    <row r="47" spans="1:17" x14ac:dyDescent="0.3">
      <c r="M47" s="3"/>
    </row>
    <row r="48" spans="1:17" x14ac:dyDescent="0.3">
      <c r="K48" s="5" t="s">
        <v>16</v>
      </c>
      <c r="M48" s="3">
        <f>1/SUM(M50:M52)</f>
        <v>0.45454545454545453</v>
      </c>
    </row>
    <row r="49" spans="12:13" x14ac:dyDescent="0.3">
      <c r="M49" s="3"/>
    </row>
    <row r="50" spans="12:13" x14ac:dyDescent="0.3">
      <c r="L50" s="3" t="s">
        <v>19</v>
      </c>
      <c r="M50" s="3">
        <f>+($E$3^0)*FACT(0)</f>
        <v>1</v>
      </c>
    </row>
    <row r="51" spans="12:13" x14ac:dyDescent="0.3">
      <c r="L51" s="3" t="s">
        <v>20</v>
      </c>
      <c r="M51" s="3">
        <f>+($E$3^1)*FACT(1)</f>
        <v>0.75</v>
      </c>
    </row>
    <row r="52" spans="12:13" x14ac:dyDescent="0.3">
      <c r="L52" s="3" t="s">
        <v>21</v>
      </c>
      <c r="M52" s="3">
        <f>+((E3^2)/FACT(2))*((2*C4)/((2*C4)-C3))</f>
        <v>0.45</v>
      </c>
    </row>
  </sheetData>
  <mergeCells count="1">
    <mergeCell ref="A1:K1"/>
  </mergeCells>
  <pageMargins left="0.7" right="0.7" top="0.75" bottom="0.75" header="0.3" footer="0.3"/>
  <headerFooter>
    <oddHeader>&amp;R&amp;"Calibri"&amp;10&amp;K000000 Documento: Personal&amp;1#_x000D_</oddHead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Filas de espera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Florencia Benevenia</dc:creator>
  <cp:lastModifiedBy>Uriel Villalonga</cp:lastModifiedBy>
  <dcterms:created xsi:type="dcterms:W3CDTF">2015-06-05T18:19:34Z</dcterms:created>
  <dcterms:modified xsi:type="dcterms:W3CDTF">2026-04-25T13:51:12Z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28ef38c-4357-49c8-b2ae-c9cdaf411188_Enabled">
    <vt:lpwstr>true</vt:lpwstr>
  </property>
  <property fmtid="{D5CDD505-2E9C-101B-9397-08002B2CF9AE}" pid="3" name="MSIP_Label_228ef38c-4357-49c8-b2ae-c9cdaf411188_SetDate">
    <vt:lpwstr>2024-05-05T00:32:07Z</vt:lpwstr>
  </property>
  <property fmtid="{D5CDD505-2E9C-101B-9397-08002B2CF9AE}" pid="4" name="MSIP_Label_228ef38c-4357-49c8-b2ae-c9cdaf411188_Method">
    <vt:lpwstr>Privileged</vt:lpwstr>
  </property>
  <property fmtid="{D5CDD505-2E9C-101B-9397-08002B2CF9AE}" pid="5" name="MSIP_Label_228ef38c-4357-49c8-b2ae-c9cdaf411188_Name">
    <vt:lpwstr>Personal</vt:lpwstr>
  </property>
  <property fmtid="{D5CDD505-2E9C-101B-9397-08002B2CF9AE}" pid="6" name="MSIP_Label_228ef38c-4357-49c8-b2ae-c9cdaf411188_SiteId">
    <vt:lpwstr>038018c3-616c-4b46-ad9b-aa9007f701b5</vt:lpwstr>
  </property>
  <property fmtid="{D5CDD505-2E9C-101B-9397-08002B2CF9AE}" pid="7" name="MSIP_Label_228ef38c-4357-49c8-b2ae-c9cdaf411188_ActionId">
    <vt:lpwstr>805cb2f4-4b9d-40b2-85da-cafa45b425bc</vt:lpwstr>
  </property>
  <property fmtid="{D5CDD505-2E9C-101B-9397-08002B2CF9AE}" pid="8" name="MSIP_Label_228ef38c-4357-49c8-b2ae-c9cdaf411188_ContentBits">
    <vt:lpwstr>1</vt:lpwstr>
  </property>
</Properties>
</file>