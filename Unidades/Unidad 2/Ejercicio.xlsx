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161ea31542415b/4to Año/Invest Op/Unidad 2/"/>
    </mc:Choice>
  </mc:AlternateContent>
  <xr:revisionPtr revIDLastSave="0" documentId="8_{F22D3DD2-7643-48D0-90D8-3675EB065C8B}" xr6:coauthVersionLast="47" xr6:coauthVersionMax="47" xr10:uidLastSave="{00000000-0000-0000-0000-000000000000}"/>
  <bookViews>
    <workbookView xWindow="-108" yWindow="-108" windowWidth="23256" windowHeight="12456" xr2:uid="{9814B9DF-C2E4-4F6E-8480-41F7EFB031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C29" i="1"/>
</calcChain>
</file>

<file path=xl/sharedStrings.xml><?xml version="1.0" encoding="utf-8"?>
<sst xmlns="http://schemas.openxmlformats.org/spreadsheetml/2006/main" count="66" uniqueCount="64">
  <si>
    <r>
      <t xml:space="preserve">Las </t>
    </r>
    <r>
      <rPr>
        <b/>
        <sz val="11"/>
        <color theme="1"/>
        <rFont val="Aptos Narrow"/>
        <family val="2"/>
        <scheme val="minor"/>
      </rPr>
      <t>llegadas</t>
    </r>
    <r>
      <rPr>
        <sz val="11"/>
        <color theme="1"/>
        <rFont val="Aptos Narrow"/>
        <family val="2"/>
        <scheme val="minor"/>
      </rPr>
      <t xml:space="preserve"> siguen una distribución exponencial → proceso de Poisson → tasa de llegadas constante y aleatoria (la </t>
    </r>
    <r>
      <rPr>
        <b/>
        <sz val="11"/>
        <color theme="1"/>
        <rFont val="Aptos Narrow"/>
        <family val="2"/>
        <scheme val="minor"/>
      </rPr>
      <t>λ</t>
    </r>
    <r>
      <rPr>
        <sz val="11"/>
        <color theme="1"/>
        <rFont val="Aptos Narrow"/>
        <family val="2"/>
        <scheme val="minor"/>
      </rPr>
      <t>).</t>
    </r>
  </si>
  <si>
    <r>
      <t xml:space="preserve">El </t>
    </r>
    <r>
      <rPr>
        <b/>
        <sz val="11"/>
        <color theme="1"/>
        <rFont val="Aptos Narrow"/>
        <family val="2"/>
        <scheme val="minor"/>
      </rPr>
      <t>servicio</t>
    </r>
    <r>
      <rPr>
        <sz val="11"/>
        <color theme="1"/>
        <rFont val="Aptos Narrow"/>
        <family val="2"/>
        <scheme val="minor"/>
      </rPr>
      <t xml:space="preserve"> también es aleatorio con una tasa fija → la </t>
    </r>
    <r>
      <rPr>
        <b/>
        <sz val="11"/>
        <color theme="1"/>
        <rFont val="Aptos Narrow"/>
        <family val="2"/>
        <scheme val="minor"/>
      </rPr>
      <t>μ</t>
    </r>
    <r>
      <rPr>
        <sz val="11"/>
        <color theme="1"/>
        <rFont val="Aptos Narrow"/>
        <family val="2"/>
        <scheme val="minor"/>
      </rPr>
      <t>.</t>
    </r>
  </si>
  <si>
    <r>
      <t xml:space="preserve">Hay </t>
    </r>
    <r>
      <rPr>
        <b/>
        <sz val="11"/>
        <color theme="1"/>
        <rFont val="Aptos Narrow"/>
        <family val="2"/>
        <scheme val="minor"/>
      </rPr>
      <t>una sola máquina</t>
    </r>
    <r>
      <rPr>
        <sz val="11"/>
        <color theme="1"/>
        <rFont val="Aptos Narrow"/>
        <family val="2"/>
        <scheme val="minor"/>
      </rPr>
      <t xml:space="preserve"> (servidor).</t>
    </r>
  </si>
  <si>
    <t>🔹 Datos del enunciado:</t>
  </si>
  <si>
    <r>
      <t>Tiempo entre llegadas promedio = 10 minutos / 2 productos</t>
    </r>
    <r>
      <rPr>
        <sz val="11"/>
        <color theme="1"/>
        <rFont val="Aptos Narrow"/>
        <family val="2"/>
        <scheme val="minor"/>
      </rPr>
      <t xml:space="preserve"> →</t>
    </r>
  </si>
  <si>
    <r>
      <t xml:space="preserve">→ tasa de llegada </t>
    </r>
    <r>
      <rPr>
        <b/>
        <sz val="11"/>
        <color theme="1"/>
        <rFont val="Aptos Narrow"/>
        <family val="2"/>
        <scheme val="minor"/>
      </rPr>
      <t>λ = 2 productos cada 10 minutos = 0,2 productos por minuto = 12 productos/hora</t>
    </r>
  </si>
  <si>
    <t>Capacidad máxima de la máquina = 20 cajas cada 2 horas</t>
  </si>
  <si>
    <r>
      <t xml:space="preserve">→ tasa de servicio </t>
    </r>
    <r>
      <rPr>
        <b/>
        <sz val="11"/>
        <color theme="1"/>
        <rFont val="Aptos Narrow"/>
        <family val="2"/>
        <scheme val="minor"/>
      </rPr>
      <t>μ = 20/2 = 10 productos por hora</t>
    </r>
  </si>
  <si>
    <t>a. ¿Es necesario adquirir más máquinas?</t>
  </si>
  <si>
    <r>
      <t xml:space="preserve">Si </t>
    </r>
    <r>
      <rPr>
        <b/>
        <sz val="11"/>
        <color theme="1"/>
        <rFont val="Aptos Narrow"/>
        <family val="2"/>
        <scheme val="minor"/>
      </rPr>
      <t>ρ &gt; 1</t>
    </r>
    <r>
      <rPr>
        <sz val="11"/>
        <color theme="1"/>
        <rFont val="Aptos Narrow"/>
        <family val="2"/>
        <scheme val="minor"/>
      </rPr>
      <t xml:space="preserve">, el sistema </t>
    </r>
    <r>
      <rPr>
        <b/>
        <sz val="11"/>
        <color theme="1"/>
        <rFont val="Aptos Narrow"/>
        <family val="2"/>
        <scheme val="minor"/>
      </rPr>
      <t>no es estable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se forma una cola infinita</t>
    </r>
    <r>
      <rPr>
        <sz val="11"/>
        <color theme="1"/>
        <rFont val="Aptos Narrow"/>
        <family val="2"/>
        <scheme val="minor"/>
      </rPr>
      <t xml:space="preserve"> con el tiempo.</t>
    </r>
  </si>
  <si>
    <r>
      <t xml:space="preserve">La máquina </t>
    </r>
    <r>
      <rPr>
        <b/>
        <sz val="11"/>
        <color theme="1"/>
        <rFont val="Aptos Narrow"/>
        <family val="2"/>
        <scheme val="minor"/>
      </rPr>
      <t>no alcanza</t>
    </r>
    <r>
      <rPr>
        <sz val="11"/>
        <color theme="1"/>
        <rFont val="Aptos Narrow"/>
        <family val="2"/>
        <scheme val="minor"/>
      </rPr>
      <t xml:space="preserve"> a procesar lo que llega → se acumulan productos, se satura, baja productividad, hay desperdicio.</t>
    </r>
  </si>
  <si>
    <t>✅ Respuesta a la pregunta a:</t>
  </si>
  <si>
    <t>Sí, es necesario adquirir más máquinas.</t>
  </si>
  <si>
    <r>
      <t xml:space="preserve">Porque </t>
    </r>
    <r>
      <rPr>
        <b/>
        <sz val="11"/>
        <color theme="1"/>
        <rFont val="Aptos Narrow"/>
        <family val="2"/>
        <scheme val="minor"/>
      </rPr>
      <t>la tasa de llegada (12 por hora)</t>
    </r>
    <r>
      <rPr>
        <sz val="11"/>
        <color theme="1"/>
        <rFont val="Aptos Narrow"/>
        <family val="2"/>
        <scheme val="minor"/>
      </rPr>
      <t xml:space="preserve"> es </t>
    </r>
    <r>
      <rPr>
        <b/>
        <sz val="11"/>
        <color theme="1"/>
        <rFont val="Aptos Narrow"/>
        <family val="2"/>
        <scheme val="minor"/>
      </rPr>
      <t>mayor</t>
    </r>
    <r>
      <rPr>
        <sz val="11"/>
        <color theme="1"/>
        <rFont val="Aptos Narrow"/>
        <family val="2"/>
        <scheme val="minor"/>
      </rPr>
      <t xml:space="preserve"> que la </t>
    </r>
    <r>
      <rPr>
        <b/>
        <sz val="11"/>
        <color theme="1"/>
        <rFont val="Aptos Narrow"/>
        <family val="2"/>
        <scheme val="minor"/>
      </rPr>
      <t>tasa de servicio (10 por hora)</t>
    </r>
    <r>
      <rPr>
        <sz val="11"/>
        <color theme="1"/>
        <rFont val="Aptos Narrow"/>
        <family val="2"/>
        <scheme val="minor"/>
      </rPr>
      <t xml:space="preserve">, lo cual </t>
    </r>
    <r>
      <rPr>
        <b/>
        <sz val="11"/>
        <color theme="1"/>
        <rFont val="Aptos Narrow"/>
        <family val="2"/>
        <scheme val="minor"/>
      </rPr>
      <t>viola el supuesto básico de estabilidad</t>
    </r>
    <r>
      <rPr>
        <sz val="11"/>
        <color theme="1"/>
        <rFont val="Aptos Narrow"/>
        <family val="2"/>
        <scheme val="minor"/>
      </rPr>
      <t xml:space="preserve"> en los modelos M/M/1 → el sistema </t>
    </r>
    <r>
      <rPr>
        <b/>
        <sz val="11"/>
        <color theme="1"/>
        <rFont val="Aptos Narrow"/>
        <family val="2"/>
        <scheme val="minor"/>
      </rPr>
      <t>colapsa</t>
    </r>
    <r>
      <rPr>
        <sz val="11"/>
        <color theme="1"/>
        <rFont val="Aptos Narrow"/>
        <family val="2"/>
        <scheme val="minor"/>
      </rPr>
      <t xml:space="preserve"> si no se mejora la capacidad de atención.</t>
    </r>
  </si>
  <si>
    <t>b. Si se busca adquirir una máquina más...</t>
  </si>
  <si>
    <t>Entonces estaríamos frente a un modelo M/M/2:</t>
  </si>
  <si>
    <r>
      <t xml:space="preserve">Llegadas: siguen siendo Poisson con tasa </t>
    </r>
    <r>
      <rPr>
        <b/>
        <sz val="11"/>
        <color theme="1"/>
        <rFont val="Aptos Narrow"/>
        <family val="2"/>
        <scheme val="minor"/>
      </rPr>
      <t>λ = 12/hora</t>
    </r>
  </si>
  <si>
    <r>
      <t xml:space="preserve">Servicio: ahora hay </t>
    </r>
    <r>
      <rPr>
        <b/>
        <sz val="11"/>
        <color theme="1"/>
        <rFont val="Aptos Narrow"/>
        <family val="2"/>
        <scheme val="minor"/>
      </rPr>
      <t>2 servidores</t>
    </r>
    <r>
      <rPr>
        <sz val="11"/>
        <color theme="1"/>
        <rFont val="Aptos Narrow"/>
        <family val="2"/>
        <scheme val="minor"/>
      </rPr>
      <t xml:space="preserve">, cada uno con tasa </t>
    </r>
    <r>
      <rPr>
        <b/>
        <sz val="11"/>
        <color theme="1"/>
        <rFont val="Aptos Narrow"/>
        <family val="2"/>
        <scheme val="minor"/>
      </rPr>
      <t>μ = 10/hora</t>
    </r>
  </si>
  <si>
    <r>
      <t xml:space="preserve">Capacidad total de servicio del sistema: </t>
    </r>
    <r>
      <rPr>
        <b/>
        <sz val="11"/>
        <color theme="1"/>
        <rFont val="Aptos Narrow"/>
        <family val="2"/>
        <scheme val="minor"/>
      </rPr>
      <t>2 × 10 = 20 productos por hora</t>
    </r>
  </si>
  <si>
    <t>📌 Nuevo factor de utilización:</t>
  </si>
  <si>
    <r>
      <t xml:space="preserve">Lo cual </t>
    </r>
    <r>
      <rPr>
        <b/>
        <sz val="11"/>
        <color theme="1"/>
        <rFont val="Aptos Narrow"/>
        <family val="2"/>
        <scheme val="minor"/>
      </rPr>
      <t>sí es aceptable</t>
    </r>
    <r>
      <rPr>
        <sz val="11"/>
        <color theme="1"/>
        <rFont val="Aptos Narrow"/>
        <family val="2"/>
        <scheme val="minor"/>
      </rPr>
      <t xml:space="preserve"> → sistema estable.</t>
    </r>
  </si>
  <si>
    <t>📌 Descripción del nuevo sistema:</t>
  </si>
  <si>
    <r>
      <t xml:space="preserve">Tipo de cola: </t>
    </r>
    <r>
      <rPr>
        <b/>
        <sz val="11"/>
        <color theme="1"/>
        <rFont val="Aptos Narrow"/>
        <family val="2"/>
        <scheme val="minor"/>
      </rPr>
      <t>M/M/2</t>
    </r>
  </si>
  <si>
    <r>
      <t xml:space="preserve">Tasa de llegada: </t>
    </r>
    <r>
      <rPr>
        <b/>
        <sz val="11"/>
        <color theme="1"/>
        <rFont val="Aptos Narrow"/>
        <family val="2"/>
        <scheme val="minor"/>
      </rPr>
      <t>λ = 12/h</t>
    </r>
  </si>
  <si>
    <r>
      <t xml:space="preserve">Tasa de servicio por máquina: </t>
    </r>
    <r>
      <rPr>
        <b/>
        <sz val="11"/>
        <color theme="1"/>
        <rFont val="Aptos Narrow"/>
        <family val="2"/>
        <scheme val="minor"/>
      </rPr>
      <t>μ = 10/h</t>
    </r>
  </si>
  <si>
    <r>
      <t xml:space="preserve">Número de servidores: </t>
    </r>
    <r>
      <rPr>
        <b/>
        <sz val="11"/>
        <color theme="1"/>
        <rFont val="Aptos Narrow"/>
        <family val="2"/>
        <scheme val="minor"/>
      </rPr>
      <t>c = 2</t>
    </r>
  </si>
  <si>
    <t>Disciplina: Supongamos FIFO (primero en entrar, primero en salir)</t>
  </si>
  <si>
    <t>Capacidad del sistema: Infinita, salvo que se indique otra cosa</t>
  </si>
  <si>
    <r>
      <t>El sistema ahora puede absorber la demanda</t>
    </r>
    <r>
      <rPr>
        <sz val="11"/>
        <color theme="1"/>
        <rFont val="Aptos Narrow"/>
        <family val="2"/>
        <scheme val="minor"/>
      </rPr>
      <t xml:space="preserve"> sin congestión.</t>
    </r>
  </si>
  <si>
    <t>🔄 Comparación M/M/1 vs M/M/2:</t>
  </si>
  <si>
    <t>Métrica</t>
  </si>
  <si>
    <t>M/M/1</t>
  </si>
  <si>
    <t>M/M/2</t>
  </si>
  <si>
    <t>Capacidad de servicio</t>
  </si>
  <si>
    <t>10/h</t>
  </si>
  <si>
    <t>20/h</t>
  </si>
  <si>
    <t>Llegadas</t>
  </si>
  <si>
    <t>12/h</t>
  </si>
  <si>
    <t>Utilización</t>
  </si>
  <si>
    <t>120% ❌</t>
  </si>
  <si>
    <t>60% ✅</t>
  </si>
  <si>
    <t>Estabilidad</t>
  </si>
  <si>
    <t>Inestable</t>
  </si>
  <si>
    <t>Estable</t>
  </si>
  <si>
    <t>Necesidad de expansión</t>
  </si>
  <si>
    <t>Urgente</t>
  </si>
  <si>
    <t>Satisfecha</t>
  </si>
  <si>
    <t>🎯 Conclusión general:</t>
  </si>
  <si>
    <r>
      <t>a.</t>
    </r>
    <r>
      <rPr>
        <sz val="11"/>
        <color theme="1"/>
        <rFont val="Aptos Narrow"/>
        <family val="2"/>
        <scheme val="minor"/>
      </rPr>
      <t xml:space="preserve"> La máquina actual </t>
    </r>
    <r>
      <rPr>
        <b/>
        <sz val="11"/>
        <color theme="1"/>
        <rFont val="Aptos Narrow"/>
        <family val="2"/>
        <scheme val="minor"/>
      </rPr>
      <t>no alcanza</t>
    </r>
    <r>
      <rPr>
        <sz val="11"/>
        <color theme="1"/>
        <rFont val="Aptos Narrow"/>
        <family val="2"/>
        <scheme val="minor"/>
      </rPr>
      <t xml:space="preserve">, porque la demanda es mayor a la capacidad → </t>
    </r>
    <r>
      <rPr>
        <b/>
        <sz val="11"/>
        <color theme="1"/>
        <rFont val="Aptos Narrow"/>
        <family val="2"/>
        <scheme val="minor"/>
      </rPr>
      <t>se requiere al menos una máquina más</t>
    </r>
    <r>
      <rPr>
        <sz val="11"/>
        <color theme="1"/>
        <rFont val="Aptos Narrow"/>
        <family val="2"/>
        <scheme val="minor"/>
      </rPr>
      <t>.</t>
    </r>
  </si>
  <si>
    <r>
      <t>b.</t>
    </r>
    <r>
      <rPr>
        <sz val="11"/>
        <color theme="1"/>
        <rFont val="Aptos Narrow"/>
        <family val="2"/>
        <scheme val="minor"/>
      </rPr>
      <t xml:space="preserve"> Con una máquina extra, el sistema </t>
    </r>
    <r>
      <rPr>
        <b/>
        <sz val="11"/>
        <color theme="1"/>
        <rFont val="Aptos Narrow"/>
        <family val="2"/>
        <scheme val="minor"/>
      </rPr>
      <t>se transforma en M/M/2</t>
    </r>
    <r>
      <rPr>
        <sz val="11"/>
        <color theme="1"/>
        <rFont val="Aptos Narrow"/>
        <family val="2"/>
        <scheme val="minor"/>
      </rPr>
      <t>, con un nivel de utilización aceptable y capacidad para absorber la demanda sin generar cuellos de botella.</t>
    </r>
  </si>
  <si>
    <r>
      <t xml:space="preserve">Este tipo de problema entra dentro de </t>
    </r>
    <r>
      <rPr>
        <b/>
        <sz val="11"/>
        <color theme="1"/>
        <rFont val="Aptos Narrow"/>
        <family val="2"/>
        <scheme val="minor"/>
      </rPr>
      <t>teoría de colas (Filas de Espera)</t>
    </r>
    <r>
      <rPr>
        <sz val="11"/>
        <color theme="1"/>
        <rFont val="Aptos Narrow"/>
        <family val="2"/>
        <scheme val="minor"/>
      </rPr>
      <t xml:space="preserve">, y más específicamente, estamos frente a un modelo del tipo </t>
    </r>
    <r>
      <rPr>
        <b/>
        <sz val="11"/>
        <color theme="1"/>
        <rFont val="Aptos Narrow"/>
        <family val="2"/>
        <scheme val="minor"/>
      </rPr>
      <t>M/M/1</t>
    </r>
    <r>
      <rPr>
        <sz val="11"/>
        <color theme="1"/>
        <rFont val="Aptos Narrow"/>
        <family val="2"/>
        <scheme val="minor"/>
      </rPr>
      <t>, porque:</t>
    </r>
  </si>
  <si>
    <t>Una linea de produccion concluyecon una estacion de ensamblado. Se cuenta con una sola maquina, que recibe productos de un sotck a pie de maquina, los procesa y luego deposita en un pallet.</t>
  </si>
  <si>
    <t>La maquina puede procesar un maximo de 20 cajas cada 2 horas. La cantidad de unidades procesadas sigue una distribucion de Poisson. Ademas, a la unidad productiva llegan, en promedio, 2 productos cada 10 minutos;</t>
  </si>
  <si>
    <t xml:space="preserve"> siguiendo una distribucion de tiempo entre arribos exponencial. </t>
  </si>
  <si>
    <t xml:space="preserve">a. ¿ Es necesario adquirir mas maquinas? Justificar. </t>
  </si>
  <si>
    <t>b. Si se busca adquirir una maquinas mas, describa el sistema con esta nueva configuracion.</t>
  </si>
  <si>
    <t>📌 Primero, calculemos el factor de utilización del sistema o Factor de Transito:</t>
  </si>
  <si>
    <t xml:space="preserve">O sea: </t>
  </si>
  <si>
    <t>productos/hora</t>
  </si>
  <si>
    <t xml:space="preserve">μ = </t>
  </si>
  <si>
    <t xml:space="preserve">λ = </t>
  </si>
  <si>
    <t>Multiplico el  μ por 2 ya que tengo 2 maquinas ahora</t>
  </si>
  <si>
    <t>ρ = λ /μ =</t>
  </si>
  <si>
    <t>ρ =λ /μ*c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</si>
</sst>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DC7C-8DE5-4CDF-B3F0-1A16D1DE8BB3}">
  <dimension ref="A1:E78"/>
  <sheetViews>
    <sheetView tabSelected="1" zoomScaleNormal="100" workbookViewId="0">
      <selection activeCell="B82" sqref="B82"/>
    </sheetView>
  </sheetViews>
  <sheetFormatPr baseColWidth="10" defaultRowHeight="14.4" x14ac:dyDescent="0.3"/>
  <sheetData>
    <row r="1" spans="1:1" x14ac:dyDescent="0.3">
      <c r="A1" t="s">
        <v>51</v>
      </c>
    </row>
    <row r="2" spans="1:1" x14ac:dyDescent="0.3">
      <c r="A2" s="1" t="s">
        <v>52</v>
      </c>
    </row>
    <row r="3" spans="1:1" x14ac:dyDescent="0.3">
      <c r="A3" t="s">
        <v>53</v>
      </c>
    </row>
    <row r="4" spans="1:1" x14ac:dyDescent="0.3">
      <c r="A4" s="3" t="s">
        <v>54</v>
      </c>
    </row>
    <row r="5" spans="1:1" x14ac:dyDescent="0.3">
      <c r="A5" s="3" t="s">
        <v>55</v>
      </c>
    </row>
    <row r="8" spans="1:1" x14ac:dyDescent="0.3">
      <c r="A8" t="s">
        <v>50</v>
      </c>
    </row>
    <row r="9" spans="1:1" x14ac:dyDescent="0.3">
      <c r="A9" s="1" t="s">
        <v>0</v>
      </c>
    </row>
    <row r="10" spans="1:1" x14ac:dyDescent="0.3">
      <c r="A10" s="1" t="s">
        <v>1</v>
      </c>
    </row>
    <row r="11" spans="1:1" x14ac:dyDescent="0.3">
      <c r="A11" s="1" t="s">
        <v>2</v>
      </c>
    </row>
    <row r="13" spans="1:1" ht="23.4" x14ac:dyDescent="0.3">
      <c r="A13" s="2" t="s">
        <v>3</v>
      </c>
    </row>
    <row r="14" spans="1:1" x14ac:dyDescent="0.3">
      <c r="A14" s="1"/>
    </row>
    <row r="15" spans="1:1" x14ac:dyDescent="0.3">
      <c r="A15" s="4" t="s">
        <v>4</v>
      </c>
    </row>
    <row r="16" spans="1:1" x14ac:dyDescent="0.3">
      <c r="A16" s="1" t="s">
        <v>5</v>
      </c>
    </row>
    <row r="17" spans="1:4" x14ac:dyDescent="0.3">
      <c r="A17" s="1"/>
    </row>
    <row r="18" spans="1:4" x14ac:dyDescent="0.3">
      <c r="A18" s="4" t="s">
        <v>6</v>
      </c>
    </row>
    <row r="19" spans="1:4" x14ac:dyDescent="0.3">
      <c r="A19" s="1" t="s">
        <v>7</v>
      </c>
    </row>
    <row r="20" spans="1:4" x14ac:dyDescent="0.3">
      <c r="A20" s="1"/>
    </row>
    <row r="21" spans="1:4" x14ac:dyDescent="0.3">
      <c r="A21" s="1" t="s">
        <v>57</v>
      </c>
      <c r="B21" s="9" t="s">
        <v>60</v>
      </c>
      <c r="C21" s="10">
        <v>12</v>
      </c>
      <c r="D21" t="s">
        <v>58</v>
      </c>
    </row>
    <row r="22" spans="1:4" x14ac:dyDescent="0.3">
      <c r="B22" s="9" t="s">
        <v>59</v>
      </c>
      <c r="C22" s="10">
        <v>10</v>
      </c>
      <c r="D22" t="s">
        <v>58</v>
      </c>
    </row>
    <row r="25" spans="1:4" ht="23.4" x14ac:dyDescent="0.3">
      <c r="A25" s="2" t="s">
        <v>8</v>
      </c>
    </row>
    <row r="27" spans="1:4" ht="18" x14ac:dyDescent="0.3">
      <c r="A27" s="5" t="s">
        <v>56</v>
      </c>
    </row>
    <row r="29" spans="1:4" x14ac:dyDescent="0.3">
      <c r="B29" s="12" t="s">
        <v>62</v>
      </c>
      <c r="C29" s="10">
        <f>+C21/C22</f>
        <v>1.2</v>
      </c>
    </row>
    <row r="31" spans="1:4" x14ac:dyDescent="0.3">
      <c r="A31" s="1" t="s">
        <v>9</v>
      </c>
    </row>
    <row r="32" spans="1:4" x14ac:dyDescent="0.3">
      <c r="A32" s="1" t="s">
        <v>10</v>
      </c>
    </row>
    <row r="35" spans="1:1" ht="18" x14ac:dyDescent="0.3">
      <c r="A35" s="5" t="s">
        <v>11</v>
      </c>
    </row>
    <row r="37" spans="1:1" x14ac:dyDescent="0.3">
      <c r="A37" s="3" t="s">
        <v>12</v>
      </c>
    </row>
    <row r="38" spans="1:1" x14ac:dyDescent="0.3">
      <c r="A38" t="s">
        <v>13</v>
      </c>
    </row>
    <row r="42" spans="1:1" ht="23.4" x14ac:dyDescent="0.3">
      <c r="A42" s="2" t="s">
        <v>14</v>
      </c>
    </row>
    <row r="44" spans="1:1" ht="18" x14ac:dyDescent="0.3">
      <c r="A44" s="5" t="s">
        <v>15</v>
      </c>
    </row>
    <row r="45" spans="1:1" x14ac:dyDescent="0.3">
      <c r="A45" s="1" t="s">
        <v>16</v>
      </c>
    </row>
    <row r="46" spans="1:1" x14ac:dyDescent="0.3">
      <c r="A46" s="1" t="s">
        <v>17</v>
      </c>
    </row>
    <row r="47" spans="1:1" x14ac:dyDescent="0.3">
      <c r="A47" s="1" t="s">
        <v>18</v>
      </c>
    </row>
    <row r="48" spans="1:1" x14ac:dyDescent="0.3">
      <c r="A48" s="1"/>
    </row>
    <row r="50" spans="1:5" ht="18" x14ac:dyDescent="0.3">
      <c r="A50" s="5" t="s">
        <v>19</v>
      </c>
    </row>
    <row r="52" spans="1:5" x14ac:dyDescent="0.3">
      <c r="B52" s="8" t="s">
        <v>63</v>
      </c>
      <c r="C52" s="11">
        <f>+C21/(C22*2)</f>
        <v>0.6</v>
      </c>
      <c r="E52" t="s">
        <v>61</v>
      </c>
    </row>
    <row r="53" spans="1:5" x14ac:dyDescent="0.3">
      <c r="E53" t="s">
        <v>20</v>
      </c>
    </row>
    <row r="55" spans="1:5" ht="18" x14ac:dyDescent="0.3">
      <c r="A55" s="5" t="s">
        <v>21</v>
      </c>
    </row>
    <row r="56" spans="1:5" x14ac:dyDescent="0.3">
      <c r="A56" s="1" t="s">
        <v>22</v>
      </c>
    </row>
    <row r="57" spans="1:5" x14ac:dyDescent="0.3">
      <c r="A57" s="1" t="s">
        <v>23</v>
      </c>
    </row>
    <row r="58" spans="1:5" x14ac:dyDescent="0.3">
      <c r="A58" s="1" t="s">
        <v>24</v>
      </c>
    </row>
    <row r="59" spans="1:5" x14ac:dyDescent="0.3">
      <c r="A59" s="1" t="s">
        <v>25</v>
      </c>
    </row>
    <row r="60" spans="1:5" x14ac:dyDescent="0.3">
      <c r="A60" s="1" t="s">
        <v>26</v>
      </c>
    </row>
    <row r="61" spans="1:5" x14ac:dyDescent="0.3">
      <c r="A61" s="1" t="s">
        <v>27</v>
      </c>
    </row>
    <row r="62" spans="1:5" x14ac:dyDescent="0.3">
      <c r="A62" s="4" t="s">
        <v>28</v>
      </c>
    </row>
    <row r="64" spans="1:5" x14ac:dyDescent="0.3">
      <c r="A64" s="1"/>
    </row>
    <row r="65" spans="1:3" ht="18" x14ac:dyDescent="0.3">
      <c r="A65" s="5" t="s">
        <v>29</v>
      </c>
    </row>
    <row r="67" spans="1:3" x14ac:dyDescent="0.3">
      <c r="A67" s="6" t="s">
        <v>30</v>
      </c>
      <c r="B67" s="6" t="s">
        <v>31</v>
      </c>
      <c r="C67" s="6" t="s">
        <v>32</v>
      </c>
    </row>
    <row r="68" spans="1:3" ht="28.8" x14ac:dyDescent="0.3">
      <c r="A68" s="7" t="s">
        <v>33</v>
      </c>
      <c r="B68" s="7" t="s">
        <v>34</v>
      </c>
      <c r="C68" s="7" t="s">
        <v>35</v>
      </c>
    </row>
    <row r="69" spans="1:3" x14ac:dyDescent="0.3">
      <c r="A69" s="7" t="s">
        <v>36</v>
      </c>
      <c r="B69" s="7" t="s">
        <v>37</v>
      </c>
      <c r="C69" s="7" t="s">
        <v>37</v>
      </c>
    </row>
    <row r="70" spans="1:3" x14ac:dyDescent="0.3">
      <c r="A70" s="7" t="s">
        <v>38</v>
      </c>
      <c r="B70" s="7" t="s">
        <v>39</v>
      </c>
      <c r="C70" s="7" t="s">
        <v>40</v>
      </c>
    </row>
    <row r="71" spans="1:3" x14ac:dyDescent="0.3">
      <c r="A71" s="7" t="s">
        <v>41</v>
      </c>
      <c r="B71" s="7" t="s">
        <v>42</v>
      </c>
      <c r="C71" s="7" t="s">
        <v>43</v>
      </c>
    </row>
    <row r="72" spans="1:3" ht="28.8" x14ac:dyDescent="0.3">
      <c r="A72" s="7" t="s">
        <v>44</v>
      </c>
      <c r="B72" s="7" t="s">
        <v>45</v>
      </c>
      <c r="C72" s="7" t="s">
        <v>46</v>
      </c>
    </row>
    <row r="75" spans="1:3" ht="23.4" x14ac:dyDescent="0.3">
      <c r="A75" s="2" t="s">
        <v>47</v>
      </c>
    </row>
    <row r="76" spans="1:3" x14ac:dyDescent="0.3">
      <c r="A76" s="1"/>
    </row>
    <row r="77" spans="1:3" x14ac:dyDescent="0.3">
      <c r="A77" s="4" t="s">
        <v>48</v>
      </c>
    </row>
    <row r="78" spans="1:3" x14ac:dyDescent="0.3">
      <c r="A78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Villalonga</dc:creator>
  <cp:lastModifiedBy>Uriel Villalonga</cp:lastModifiedBy>
  <dcterms:created xsi:type="dcterms:W3CDTF">2025-06-14T13:31:40Z</dcterms:created>
  <dcterms:modified xsi:type="dcterms:W3CDTF">2025-06-14T13:46:53Z</dcterms:modified>
</cp:coreProperties>
</file>