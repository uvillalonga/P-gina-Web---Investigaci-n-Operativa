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14322\Downloads\"/>
    </mc:Choice>
  </mc:AlternateContent>
  <xr:revisionPtr revIDLastSave="0" documentId="13_ncr:1_{AEE5F04E-3DD3-4AE2-917E-11442CB796D2}" xr6:coauthVersionLast="47" xr6:coauthVersionMax="47" xr10:uidLastSave="{00000000-0000-0000-0000-000000000000}"/>
  <bookViews>
    <workbookView xWindow="-120" yWindow="-120" windowWidth="18780" windowHeight="11760" xr2:uid="{00000000-000D-0000-FFFF-FFFF00000000}"/>
  </bookViews>
  <sheets>
    <sheet name="Gantt" sheetId="2" r:id="rId1"/>
    <sheet name="Cálculo de tiempos" sheetId="3" r:id="rId2"/>
    <sheet name="Cálculo de márgenes" sheetId="6" r:id="rId3"/>
    <sheet name="Gantt Financiero" sheetId="5" r:id="rId4"/>
    <sheet name="Calculo VAN-TIR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6" l="1"/>
  <c r="J12" i="6"/>
  <c r="I12" i="6"/>
  <c r="F12" i="6"/>
  <c r="M12" i="6" s="1"/>
  <c r="J11" i="6"/>
  <c r="L11" i="6" s="1"/>
  <c r="I11" i="6"/>
  <c r="F11" i="6"/>
  <c r="M11" i="6" s="1"/>
  <c r="L10" i="6"/>
  <c r="J10" i="6"/>
  <c r="I10" i="6"/>
  <c r="F10" i="6"/>
  <c r="M10" i="6" s="1"/>
  <c r="J9" i="6"/>
  <c r="L9" i="6" s="1"/>
  <c r="I9" i="6"/>
  <c r="F9" i="6"/>
  <c r="J8" i="6"/>
  <c r="L8" i="6" s="1"/>
  <c r="I8" i="6"/>
  <c r="F8" i="6"/>
  <c r="J7" i="6"/>
  <c r="L7" i="6" s="1"/>
  <c r="I7" i="6"/>
  <c r="F7" i="6"/>
  <c r="M7" i="6" s="1"/>
  <c r="L6" i="6"/>
  <c r="J6" i="6"/>
  <c r="I6" i="6"/>
  <c r="F6" i="6"/>
  <c r="M6" i="6" s="1"/>
  <c r="J5" i="6"/>
  <c r="L5" i="6" s="1"/>
  <c r="I5" i="6"/>
  <c r="F5" i="6"/>
  <c r="M5" i="6" s="1"/>
  <c r="L4" i="6"/>
  <c r="I4" i="6"/>
  <c r="F4" i="6"/>
  <c r="M4" i="6" s="1"/>
  <c r="M9" i="6" l="1"/>
  <c r="M8" i="6"/>
  <c r="D17" i="3" l="1"/>
  <c r="F14" i="3"/>
  <c r="L9" i="3"/>
  <c r="L19" i="3"/>
  <c r="O14" i="3"/>
  <c r="R14" i="3"/>
  <c r="L13" i="3"/>
  <c r="L8" i="3"/>
  <c r="I13" i="3"/>
  <c r="F13" i="3"/>
  <c r="C3" i="1" l="1"/>
  <c r="E3" i="1"/>
  <c r="C4" i="1"/>
  <c r="E4" i="1"/>
  <c r="C5" i="1"/>
  <c r="E5" i="1"/>
  <c r="C6" i="1"/>
  <c r="E6" i="1"/>
  <c r="C7" i="1"/>
  <c r="E7" i="1"/>
  <c r="C8" i="1"/>
  <c r="E8" i="1"/>
  <c r="C9" i="1"/>
  <c r="E9" i="1"/>
  <c r="C10" i="1"/>
  <c r="E10" i="1"/>
  <c r="B11" i="1"/>
  <c r="C11" i="1"/>
  <c r="E11" i="1"/>
  <c r="C12" i="1"/>
  <c r="E12" i="1"/>
  <c r="B13" i="1"/>
  <c r="C13" i="1" s="1"/>
  <c r="E13" i="1"/>
  <c r="C14" i="1"/>
  <c r="E14" i="1"/>
  <c r="B15" i="1"/>
  <c r="C15" i="1" s="1"/>
  <c r="D15" i="1"/>
  <c r="E15" i="1"/>
  <c r="C16" i="1"/>
  <c r="E16" i="1"/>
  <c r="C17" i="1"/>
  <c r="E17" i="1"/>
  <c r="C18" i="1"/>
  <c r="D18" i="1"/>
  <c r="F24" i="1" s="1"/>
  <c r="C19" i="1"/>
  <c r="E19" i="1"/>
  <c r="C20" i="1"/>
  <c r="E20" i="1"/>
  <c r="B24" i="1" l="1"/>
  <c r="C21" i="1"/>
  <c r="E24" i="1"/>
  <c r="C24" i="1"/>
  <c r="E18" i="1"/>
  <c r="E21" i="1" s="1"/>
</calcChain>
</file>

<file path=xl/sharedStrings.xml><?xml version="1.0" encoding="utf-8"?>
<sst xmlns="http://schemas.openxmlformats.org/spreadsheetml/2006/main" count="78" uniqueCount="55">
  <si>
    <t>EST</t>
  </si>
  <si>
    <t>CIM</t>
  </si>
  <si>
    <t>VITE</t>
  </si>
  <si>
    <t>RETE</t>
  </si>
  <si>
    <t>ELEC</t>
  </si>
  <si>
    <t>EXT</t>
  </si>
  <si>
    <t>VENT</t>
  </si>
  <si>
    <t>INT</t>
  </si>
  <si>
    <t>PINT</t>
  </si>
  <si>
    <t>Ftj = Fti + Tt</t>
  </si>
  <si>
    <t>Calendario Fechas tempranas</t>
  </si>
  <si>
    <t>8+4=12</t>
  </si>
  <si>
    <t>10+0=10</t>
  </si>
  <si>
    <t>10+3=13</t>
  </si>
  <si>
    <t>10+4=14</t>
  </si>
  <si>
    <t>12+3=15</t>
  </si>
  <si>
    <t>FTi = FTj - Tt</t>
  </si>
  <si>
    <t>Calendario Fechas Tardias</t>
  </si>
  <si>
    <t>12-0=12</t>
  </si>
  <si>
    <t>15+4=11</t>
  </si>
  <si>
    <t>12-2=10</t>
  </si>
  <si>
    <t>11-2=9</t>
  </si>
  <si>
    <t>12-4=8</t>
  </si>
  <si>
    <t>CC</t>
  </si>
  <si>
    <t>Calendario Ft</t>
  </si>
  <si>
    <t>Calendario FT</t>
  </si>
  <si>
    <t>Margen Total</t>
  </si>
  <si>
    <t>Margen Libre</t>
  </si>
  <si>
    <t>Margen Independiente</t>
  </si>
  <si>
    <t xml:space="preserve">ID </t>
  </si>
  <si>
    <t xml:space="preserve">TAREA </t>
  </si>
  <si>
    <t xml:space="preserve">Te </t>
  </si>
  <si>
    <t>FTj</t>
  </si>
  <si>
    <t>Fti</t>
  </si>
  <si>
    <t>MT</t>
  </si>
  <si>
    <t>Ftj</t>
  </si>
  <si>
    <t>ML</t>
  </si>
  <si>
    <t>FTi</t>
  </si>
  <si>
    <t>MI</t>
  </si>
  <si>
    <t>Tarea crítica?</t>
  </si>
  <si>
    <t>1-2</t>
  </si>
  <si>
    <t xml:space="preserve">CIM </t>
  </si>
  <si>
    <t>2-3</t>
  </si>
  <si>
    <t>3-4</t>
  </si>
  <si>
    <t xml:space="preserve">VITE </t>
  </si>
  <si>
    <t>3-5</t>
  </si>
  <si>
    <t xml:space="preserve">VENT </t>
  </si>
  <si>
    <t>3-6</t>
  </si>
  <si>
    <t xml:space="preserve">ELEC </t>
  </si>
  <si>
    <t>4-7</t>
  </si>
  <si>
    <t>5-7</t>
  </si>
  <si>
    <t>6-7</t>
  </si>
  <si>
    <t xml:space="preserve">INT </t>
  </si>
  <si>
    <t>7-8</t>
  </si>
  <si>
    <t xml:space="preserve">PINT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</si>
</sst>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\-#,##0.00"/>
  </numFmts>
  <fonts count="17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3" tint="-0.249977111117893"/>
      <name val="Calibri"/>
      <family val="2"/>
      <scheme val="minor"/>
    </font>
    <font>
      <sz val="9"/>
      <name val="Calibri"/>
      <family val="2"/>
      <scheme val="minor"/>
    </font>
    <font>
      <sz val="18"/>
      <name val="Arial"/>
    </font>
    <font>
      <sz val="10"/>
      <color rgb="FF000000"/>
      <name val="Calibri"/>
    </font>
    <font>
      <sz val="10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0" fillId="0" borderId="0" xfId="0" applyFont="1" applyAlignment="1"/>
    <xf numFmtId="10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1" xfId="0" applyFont="1" applyBorder="1" applyAlignment="1"/>
    <xf numFmtId="0" fontId="1" fillId="0" borderId="0" xfId="0" applyFont="1" applyAlignment="1"/>
    <xf numFmtId="0" fontId="2" fillId="0" borderId="0" xfId="0" applyFont="1" applyAlignment="1">
      <alignment horizontal="left" readingOrder="1"/>
    </xf>
    <xf numFmtId="0" fontId="1" fillId="0" borderId="0" xfId="0" quotePrefix="1" applyFont="1" applyAlignment="1"/>
    <xf numFmtId="9" fontId="1" fillId="0" borderId="0" xfId="0" applyNumberFormat="1" applyFont="1" applyAlignment="1"/>
    <xf numFmtId="0" fontId="3" fillId="0" borderId="0" xfId="0" applyFont="1" applyAlignment="1">
      <alignment horizontal="left" readingOrder="1"/>
    </xf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4" xfId="0" applyFont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/>
    <xf numFmtId="0" fontId="4" fillId="0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16" xfId="0" applyFont="1" applyBorder="1" applyAlignment="1">
      <alignment horizontal="left"/>
    </xf>
    <xf numFmtId="0" fontId="11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0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3" fillId="2" borderId="20" xfId="0" applyFont="1" applyFill="1" applyBorder="1" applyAlignment="1">
      <alignment horizontal="center" wrapText="1" readingOrder="1"/>
    </xf>
    <xf numFmtId="0" fontId="13" fillId="2" borderId="21" xfId="0" applyFont="1" applyFill="1" applyBorder="1" applyAlignment="1">
      <alignment horizontal="center" wrapText="1" readingOrder="1"/>
    </xf>
    <xf numFmtId="0" fontId="13" fillId="2" borderId="22" xfId="0" applyFont="1" applyFill="1" applyBorder="1" applyAlignment="1">
      <alignment horizontal="center" wrapText="1" readingOrder="1"/>
    </xf>
    <xf numFmtId="0" fontId="13" fillId="2" borderId="23" xfId="0" applyFont="1" applyFill="1" applyBorder="1" applyAlignment="1">
      <alignment horizontal="center" wrapText="1" readingOrder="1"/>
    </xf>
    <xf numFmtId="0" fontId="13" fillId="2" borderId="24" xfId="0" applyFont="1" applyFill="1" applyBorder="1" applyAlignment="1">
      <alignment horizontal="center" wrapText="1" readingOrder="1"/>
    </xf>
    <xf numFmtId="0" fontId="13" fillId="2" borderId="25" xfId="0" applyFont="1" applyFill="1" applyBorder="1" applyAlignment="1">
      <alignment horizontal="center" wrapText="1" readingOrder="1"/>
    </xf>
    <xf numFmtId="0" fontId="12" fillId="0" borderId="26" xfId="0" applyFont="1" applyBorder="1" applyAlignment="1">
      <alignment wrapText="1"/>
    </xf>
    <xf numFmtId="0" fontId="13" fillId="2" borderId="27" xfId="0" applyFont="1" applyFill="1" applyBorder="1" applyAlignment="1">
      <alignment horizontal="center" vertical="center" wrapText="1" readingOrder="1"/>
    </xf>
    <xf numFmtId="0" fontId="13" fillId="2" borderId="28" xfId="0" applyFont="1" applyFill="1" applyBorder="1" applyAlignment="1">
      <alignment horizontal="center" vertical="center" wrapText="1" readingOrder="1"/>
    </xf>
    <xf numFmtId="0" fontId="13" fillId="2" borderId="29" xfId="0" applyFont="1" applyFill="1" applyBorder="1" applyAlignment="1">
      <alignment horizontal="center" vertical="center" wrapText="1" readingOrder="1"/>
    </xf>
    <xf numFmtId="0" fontId="13" fillId="2" borderId="30" xfId="0" applyFont="1" applyFill="1" applyBorder="1" applyAlignment="1">
      <alignment horizontal="center" vertical="center" wrapText="1" readingOrder="1"/>
    </xf>
    <xf numFmtId="0" fontId="13" fillId="2" borderId="31" xfId="0" applyFont="1" applyFill="1" applyBorder="1" applyAlignment="1">
      <alignment horizontal="center" vertical="center" wrapText="1" readingOrder="1"/>
    </xf>
    <xf numFmtId="0" fontId="13" fillId="2" borderId="32" xfId="0" applyFont="1" applyFill="1" applyBorder="1" applyAlignment="1">
      <alignment horizontal="center" vertical="center" wrapText="1" readingOrder="1"/>
    </xf>
    <xf numFmtId="49" fontId="13" fillId="0" borderId="33" xfId="0" applyNumberFormat="1" applyFont="1" applyBorder="1" applyAlignment="1">
      <alignment horizontal="center" vertical="center" wrapText="1" readingOrder="1"/>
    </xf>
    <xf numFmtId="0" fontId="13" fillId="0" borderId="33" xfId="0" applyFont="1" applyBorder="1" applyAlignment="1">
      <alignment horizontal="center" vertical="center" wrapText="1" readingOrder="1"/>
    </xf>
    <xf numFmtId="0" fontId="13" fillId="0" borderId="34" xfId="0" applyFont="1" applyBorder="1" applyAlignment="1">
      <alignment horizontal="center" vertical="center" wrapText="1" readingOrder="1"/>
    </xf>
    <xf numFmtId="0" fontId="14" fillId="0" borderId="35" xfId="0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14" fillId="3" borderId="36" xfId="0" applyFont="1" applyFill="1" applyBorder="1" applyAlignment="1">
      <alignment horizontal="center" wrapText="1"/>
    </xf>
    <xf numFmtId="0" fontId="4" fillId="0" borderId="37" xfId="0" applyFont="1" applyBorder="1" applyAlignment="1">
      <alignment horizontal="center" wrapText="1" readingOrder="1"/>
    </xf>
    <xf numFmtId="0" fontId="4" fillId="0" borderId="33" xfId="0" applyFont="1" applyBorder="1" applyAlignment="1">
      <alignment horizontal="center" wrapText="1" readingOrder="1"/>
    </xf>
    <xf numFmtId="0" fontId="4" fillId="3" borderId="33" xfId="0" applyFont="1" applyFill="1" applyBorder="1" applyAlignment="1">
      <alignment horizont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49" fontId="13" fillId="0" borderId="38" xfId="0" applyNumberFormat="1" applyFont="1" applyBorder="1" applyAlignment="1">
      <alignment horizontal="center" vertical="center" wrapText="1" readingOrder="1"/>
    </xf>
    <xf numFmtId="0" fontId="13" fillId="0" borderId="38" xfId="0" applyFont="1" applyBorder="1" applyAlignment="1">
      <alignment horizontal="center" vertical="center" wrapText="1" readingOrder="1"/>
    </xf>
    <xf numFmtId="0" fontId="13" fillId="0" borderId="39" xfId="0" applyFont="1" applyBorder="1" applyAlignment="1">
      <alignment horizontal="center" vertical="center" wrapText="1" readingOrder="1"/>
    </xf>
    <xf numFmtId="0" fontId="4" fillId="0" borderId="40" xfId="0" applyFont="1" applyBorder="1" applyAlignment="1">
      <alignment horizontal="center" wrapText="1" readingOrder="1"/>
    </xf>
    <xf numFmtId="0" fontId="4" fillId="0" borderId="38" xfId="0" applyFont="1" applyBorder="1" applyAlignment="1">
      <alignment horizontal="center" wrapText="1" readingOrder="1"/>
    </xf>
    <xf numFmtId="0" fontId="4" fillId="3" borderId="41" xfId="0" applyFont="1" applyFill="1" applyBorder="1" applyAlignment="1">
      <alignment horizontal="center" wrapText="1" readingOrder="1"/>
    </xf>
    <xf numFmtId="0" fontId="4" fillId="0" borderId="42" xfId="0" applyFont="1" applyBorder="1" applyAlignment="1">
      <alignment horizontal="center" wrapText="1" readingOrder="1"/>
    </xf>
    <xf numFmtId="0" fontId="4" fillId="3" borderId="38" xfId="0" applyFont="1" applyFill="1" applyBorder="1" applyAlignment="1">
      <alignment horizontal="center" wrapText="1" readingOrder="1"/>
    </xf>
    <xf numFmtId="0" fontId="4" fillId="0" borderId="38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wrapText="1" readingOrder="1"/>
    </xf>
    <xf numFmtId="49" fontId="13" fillId="0" borderId="43" xfId="0" applyNumberFormat="1" applyFont="1" applyBorder="1" applyAlignment="1">
      <alignment horizontal="center" vertical="center" wrapText="1" readingOrder="1"/>
    </xf>
    <xf numFmtId="0" fontId="13" fillId="0" borderId="43" xfId="0" applyFont="1" applyBorder="1" applyAlignment="1">
      <alignment horizontal="center" vertical="center" wrapText="1" readingOrder="1"/>
    </xf>
    <xf numFmtId="0" fontId="13" fillId="0" borderId="44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wrapText="1" readingOrder="1"/>
    </xf>
    <xf numFmtId="0" fontId="4" fillId="0" borderId="46" xfId="0" applyFont="1" applyBorder="1" applyAlignment="1">
      <alignment horizontal="center" wrapText="1" readingOrder="1"/>
    </xf>
    <xf numFmtId="0" fontId="4" fillId="3" borderId="47" xfId="0" applyFont="1" applyFill="1" applyBorder="1" applyAlignment="1">
      <alignment horizontal="center" wrapText="1" readingOrder="1"/>
    </xf>
    <xf numFmtId="0" fontId="4" fillId="0" borderId="48" xfId="0" applyFont="1" applyBorder="1" applyAlignment="1">
      <alignment horizontal="center" wrapText="1" readingOrder="1"/>
    </xf>
    <xf numFmtId="0" fontId="4" fillId="0" borderId="43" xfId="0" applyFont="1" applyBorder="1" applyAlignment="1">
      <alignment horizontal="center" wrapText="1" readingOrder="1"/>
    </xf>
    <xf numFmtId="0" fontId="4" fillId="3" borderId="43" xfId="0" applyFont="1" applyFill="1" applyBorder="1" applyAlignment="1">
      <alignment horizont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15" fillId="0" borderId="16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6" fillId="0" borderId="16" xfId="0" applyFont="1" applyBorder="1"/>
    <xf numFmtId="0" fontId="15" fillId="0" borderId="16" xfId="0" applyFont="1" applyBorder="1"/>
    <xf numFmtId="0" fontId="16" fillId="0" borderId="17" xfId="0" applyFont="1" applyBorder="1"/>
    <xf numFmtId="0" fontId="1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19</xdr:row>
      <xdr:rowOff>57150</xdr:rowOff>
    </xdr:from>
    <xdr:to>
      <xdr:col>27</xdr:col>
      <xdr:colOff>171450</xdr:colOff>
      <xdr:row>23</xdr:row>
      <xdr:rowOff>85725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905750" y="3133725"/>
          <a:ext cx="752475" cy="676275"/>
          <a:chOff x="609600" y="447675"/>
          <a:chExt cx="752475" cy="676275"/>
        </a:xfrm>
      </xdr:grpSpPr>
      <xdr:sp macro="" textlink="">
        <xdr:nvSpPr>
          <xdr:cNvPr id="2" name="1 Elipse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3 Conector rect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>
            <a:stCxn id="2" idx="0"/>
            <a:endCxn id="2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5 Conector rect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stCxn id="2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142875</xdr:colOff>
      <xdr:row>0</xdr:row>
      <xdr:rowOff>0</xdr:rowOff>
    </xdr:from>
    <xdr:to>
      <xdr:col>16</xdr:col>
      <xdr:colOff>304800</xdr:colOff>
      <xdr:row>11</xdr:row>
      <xdr:rowOff>71401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82738-33B9-9514-C2C2-E2A77948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0"/>
          <a:ext cx="4248150" cy="1852576"/>
        </a:xfrm>
        <a:prstGeom prst="rect">
          <a:avLst/>
        </a:prstGeom>
      </xdr:spPr>
    </xdr:pic>
    <xdr:clientData/>
  </xdr:twoCellAnchor>
  <xdr:twoCellAnchor>
    <xdr:from>
      <xdr:col>27</xdr:col>
      <xdr:colOff>171450</xdr:colOff>
      <xdr:row>21</xdr:row>
      <xdr:rowOff>42863</xdr:rowOff>
    </xdr:from>
    <xdr:to>
      <xdr:col>29</xdr:col>
      <xdr:colOff>133350</xdr:colOff>
      <xdr:row>21</xdr:row>
      <xdr:rowOff>71438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FCB2D74-2E56-20C8-F216-0456565AFFF3}"/>
            </a:ext>
          </a:extLst>
        </xdr:cNvPr>
        <xdr:cNvCxnSpPr>
          <a:stCxn id="2" idx="6"/>
          <a:endCxn id="90" idx="2"/>
        </xdr:cNvCxnSpPr>
      </xdr:nvCxnSpPr>
      <xdr:spPr>
        <a:xfrm flipV="1">
          <a:off x="8658225" y="3443288"/>
          <a:ext cx="5905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15</xdr:row>
      <xdr:rowOff>14288</xdr:rowOff>
    </xdr:from>
    <xdr:to>
      <xdr:col>25</xdr:col>
      <xdr:colOff>47625</xdr:colOff>
      <xdr:row>21</xdr:row>
      <xdr:rowOff>71438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D615D15-1E8F-4853-B8D8-BBDBE35BDC52}"/>
            </a:ext>
          </a:extLst>
        </xdr:cNvPr>
        <xdr:cNvCxnSpPr>
          <a:stCxn id="66" idx="6"/>
          <a:endCxn id="2" idx="2"/>
        </xdr:cNvCxnSpPr>
      </xdr:nvCxnSpPr>
      <xdr:spPr>
        <a:xfrm>
          <a:off x="6410325" y="2443163"/>
          <a:ext cx="1495425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114300</xdr:colOff>
      <xdr:row>21</xdr:row>
      <xdr:rowOff>71438</xdr:rowOff>
    </xdr:from>
    <xdr:to>
      <xdr:col>25</xdr:col>
      <xdr:colOff>47625</xdr:colOff>
      <xdr:row>21</xdr:row>
      <xdr:rowOff>100013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F0863802-3C56-4A0C-B787-F62D052B6C05}"/>
            </a:ext>
          </a:extLst>
        </xdr:cNvPr>
        <xdr:cNvCxnSpPr>
          <a:stCxn id="51" idx="6"/>
          <a:endCxn id="2" idx="2"/>
        </xdr:cNvCxnSpPr>
      </xdr:nvCxnSpPr>
      <xdr:spPr>
        <a:xfrm flipV="1">
          <a:off x="6400800" y="3471863"/>
          <a:ext cx="15049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123825</xdr:colOff>
      <xdr:row>21</xdr:row>
      <xdr:rowOff>71438</xdr:rowOff>
    </xdr:from>
    <xdr:to>
      <xdr:col>25</xdr:col>
      <xdr:colOff>47625</xdr:colOff>
      <xdr:row>27</xdr:row>
      <xdr:rowOff>147638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4FBBD460-BED4-4BC9-94FF-E8F2CD2E7ECE}"/>
            </a:ext>
          </a:extLst>
        </xdr:cNvPr>
        <xdr:cNvCxnSpPr>
          <a:stCxn id="22" idx="6"/>
          <a:endCxn id="2" idx="2"/>
        </xdr:cNvCxnSpPr>
      </xdr:nvCxnSpPr>
      <xdr:spPr>
        <a:xfrm flipV="1">
          <a:off x="6410325" y="3471863"/>
          <a:ext cx="1495425" cy="10477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25</xdr:row>
      <xdr:rowOff>133350</xdr:rowOff>
    </xdr:from>
    <xdr:to>
      <xdr:col>20</xdr:col>
      <xdr:colOff>123825</xdr:colOff>
      <xdr:row>30</xdr:row>
      <xdr:rowOff>0</xdr:rowOff>
    </xdr:to>
    <xdr:grpSp>
      <xdr:nvGrpSpPr>
        <xdr:cNvPr id="21" name="8 Grupo">
          <a:extLst>
            <a:ext uri="{FF2B5EF4-FFF2-40B4-BE49-F238E27FC236}">
              <a16:creationId xmlns:a16="http://schemas.microsoft.com/office/drawing/2014/main" id="{282DB9C7-4055-4A9C-A471-2F4397DE911B}"/>
            </a:ext>
          </a:extLst>
        </xdr:cNvPr>
        <xdr:cNvGrpSpPr/>
      </xdr:nvGrpSpPr>
      <xdr:grpSpPr>
        <a:xfrm>
          <a:off x="5657850" y="4181475"/>
          <a:ext cx="752475" cy="676275"/>
          <a:chOff x="609600" y="447675"/>
          <a:chExt cx="752475" cy="676275"/>
        </a:xfrm>
      </xdr:grpSpPr>
      <xdr:sp macro="" textlink="">
        <xdr:nvSpPr>
          <xdr:cNvPr id="22" name="1 Elipse">
            <a:extLst>
              <a:ext uri="{FF2B5EF4-FFF2-40B4-BE49-F238E27FC236}">
                <a16:creationId xmlns:a16="http://schemas.microsoft.com/office/drawing/2014/main" id="{0B36693C-50DF-BE5E-2DD4-4CCA6AF4EB9E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3" name="3 Conector recto">
            <a:extLst>
              <a:ext uri="{FF2B5EF4-FFF2-40B4-BE49-F238E27FC236}">
                <a16:creationId xmlns:a16="http://schemas.microsoft.com/office/drawing/2014/main" id="{29A728EE-54F4-78F0-BD6E-C657950B73A3}"/>
              </a:ext>
            </a:extLst>
          </xdr:cNvPr>
          <xdr:cNvCxnSpPr>
            <a:stCxn id="22" idx="0"/>
            <a:endCxn id="22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5 Conector recto">
            <a:extLst>
              <a:ext uri="{FF2B5EF4-FFF2-40B4-BE49-F238E27FC236}">
                <a16:creationId xmlns:a16="http://schemas.microsoft.com/office/drawing/2014/main" id="{B646BE99-6210-6D61-9670-09CE5747093A}"/>
              </a:ext>
            </a:extLst>
          </xdr:cNvPr>
          <xdr:cNvCxnSpPr>
            <a:stCxn id="22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194603</xdr:colOff>
      <xdr:row>23</xdr:row>
      <xdr:rowOff>15262</xdr:rowOff>
    </xdr:from>
    <xdr:to>
      <xdr:col>18</xdr:col>
      <xdr:colOff>0</xdr:colOff>
      <xdr:row>27</xdr:row>
      <xdr:rowOff>147638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279220BE-55FB-4E5E-9536-8C6F613FCBD6}"/>
            </a:ext>
          </a:extLst>
        </xdr:cNvPr>
        <xdr:cNvCxnSpPr>
          <a:stCxn id="34" idx="5"/>
          <a:endCxn id="22" idx="2"/>
        </xdr:cNvCxnSpPr>
      </xdr:nvCxnSpPr>
      <xdr:spPr>
        <a:xfrm>
          <a:off x="4909478" y="3739537"/>
          <a:ext cx="748372" cy="7800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21</xdr:row>
      <xdr:rowOff>100013</xdr:rowOff>
    </xdr:from>
    <xdr:to>
      <xdr:col>17</xdr:col>
      <xdr:colOff>304800</xdr:colOff>
      <xdr:row>21</xdr:row>
      <xdr:rowOff>100013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3042230A-A0F1-445C-8D92-73E596A9CD1B}"/>
            </a:ext>
          </a:extLst>
        </xdr:cNvPr>
        <xdr:cNvCxnSpPr>
          <a:stCxn id="34" idx="6"/>
          <a:endCxn id="51" idx="2"/>
        </xdr:cNvCxnSpPr>
      </xdr:nvCxnSpPr>
      <xdr:spPr>
        <a:xfrm>
          <a:off x="5019675" y="3500438"/>
          <a:ext cx="628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19</xdr:row>
      <xdr:rowOff>85725</xdr:rowOff>
    </xdr:from>
    <xdr:to>
      <xdr:col>15</xdr:col>
      <xdr:colOff>304800</xdr:colOff>
      <xdr:row>23</xdr:row>
      <xdr:rowOff>114300</xdr:rowOff>
    </xdr:to>
    <xdr:grpSp>
      <xdr:nvGrpSpPr>
        <xdr:cNvPr id="33" name="8 Grupo">
          <a:extLst>
            <a:ext uri="{FF2B5EF4-FFF2-40B4-BE49-F238E27FC236}">
              <a16:creationId xmlns:a16="http://schemas.microsoft.com/office/drawing/2014/main" id="{27B8F484-48F9-4C1F-A1C5-49010C752439}"/>
            </a:ext>
          </a:extLst>
        </xdr:cNvPr>
        <xdr:cNvGrpSpPr/>
      </xdr:nvGrpSpPr>
      <xdr:grpSpPr>
        <a:xfrm>
          <a:off x="4267200" y="3162300"/>
          <a:ext cx="752475" cy="676275"/>
          <a:chOff x="609600" y="447675"/>
          <a:chExt cx="752475" cy="676275"/>
        </a:xfrm>
      </xdr:grpSpPr>
      <xdr:sp macro="" textlink="">
        <xdr:nvSpPr>
          <xdr:cNvPr id="34" name="1 Elipse">
            <a:extLst>
              <a:ext uri="{FF2B5EF4-FFF2-40B4-BE49-F238E27FC236}">
                <a16:creationId xmlns:a16="http://schemas.microsoft.com/office/drawing/2014/main" id="{AD51AC60-02D9-86E2-CF5E-43765301B028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35" name="3 Conector recto">
            <a:extLst>
              <a:ext uri="{FF2B5EF4-FFF2-40B4-BE49-F238E27FC236}">
                <a16:creationId xmlns:a16="http://schemas.microsoft.com/office/drawing/2014/main" id="{5F69B2A2-89A2-7E5A-973E-7820E292075F}"/>
              </a:ext>
            </a:extLst>
          </xdr:cNvPr>
          <xdr:cNvCxnSpPr>
            <a:stCxn id="34" idx="0"/>
            <a:endCxn id="34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5 Conector recto">
            <a:extLst>
              <a:ext uri="{FF2B5EF4-FFF2-40B4-BE49-F238E27FC236}">
                <a16:creationId xmlns:a16="http://schemas.microsoft.com/office/drawing/2014/main" id="{E6622C08-19D1-591B-4D37-66209DF05482}"/>
              </a:ext>
            </a:extLst>
          </xdr:cNvPr>
          <xdr:cNvCxnSpPr>
            <a:stCxn id="34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209550</xdr:colOff>
      <xdr:row>21</xdr:row>
      <xdr:rowOff>80963</xdr:rowOff>
    </xdr:from>
    <xdr:to>
      <xdr:col>13</xdr:col>
      <xdr:colOff>180975</xdr:colOff>
      <xdr:row>21</xdr:row>
      <xdr:rowOff>100013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5FB3FDB4-4D1E-4352-91AF-3113F31C265D}"/>
            </a:ext>
          </a:extLst>
        </xdr:cNvPr>
        <xdr:cNvCxnSpPr>
          <a:stCxn id="77" idx="6"/>
          <a:endCxn id="34" idx="2"/>
        </xdr:cNvCxnSpPr>
      </xdr:nvCxnSpPr>
      <xdr:spPr>
        <a:xfrm>
          <a:off x="3352800" y="3481388"/>
          <a:ext cx="9144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19</xdr:row>
      <xdr:rowOff>85725</xdr:rowOff>
    </xdr:from>
    <xdr:to>
      <xdr:col>20</xdr:col>
      <xdr:colOff>114300</xdr:colOff>
      <xdr:row>23</xdr:row>
      <xdr:rowOff>114300</xdr:rowOff>
    </xdr:to>
    <xdr:grpSp>
      <xdr:nvGrpSpPr>
        <xdr:cNvPr id="50" name="8 Grupo">
          <a:extLst>
            <a:ext uri="{FF2B5EF4-FFF2-40B4-BE49-F238E27FC236}">
              <a16:creationId xmlns:a16="http://schemas.microsoft.com/office/drawing/2014/main" id="{0136B9C4-4CF8-4A4B-9AA9-6F088970F537}"/>
            </a:ext>
          </a:extLst>
        </xdr:cNvPr>
        <xdr:cNvGrpSpPr/>
      </xdr:nvGrpSpPr>
      <xdr:grpSpPr>
        <a:xfrm>
          <a:off x="5648325" y="3162300"/>
          <a:ext cx="752475" cy="676275"/>
          <a:chOff x="609600" y="447675"/>
          <a:chExt cx="752475" cy="676275"/>
        </a:xfrm>
      </xdr:grpSpPr>
      <xdr:sp macro="" textlink="">
        <xdr:nvSpPr>
          <xdr:cNvPr id="51" name="1 Elipse">
            <a:extLst>
              <a:ext uri="{FF2B5EF4-FFF2-40B4-BE49-F238E27FC236}">
                <a16:creationId xmlns:a16="http://schemas.microsoft.com/office/drawing/2014/main" id="{B243E1C7-CB44-FCE8-CA83-831DF5BDFEDD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2" name="3 Conector recto">
            <a:extLst>
              <a:ext uri="{FF2B5EF4-FFF2-40B4-BE49-F238E27FC236}">
                <a16:creationId xmlns:a16="http://schemas.microsoft.com/office/drawing/2014/main" id="{49B3A700-A346-D069-E86A-A7D9842603E2}"/>
              </a:ext>
            </a:extLst>
          </xdr:cNvPr>
          <xdr:cNvCxnSpPr>
            <a:stCxn id="51" idx="0"/>
            <a:endCxn id="51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5 Conector recto">
            <a:extLst>
              <a:ext uri="{FF2B5EF4-FFF2-40B4-BE49-F238E27FC236}">
                <a16:creationId xmlns:a16="http://schemas.microsoft.com/office/drawing/2014/main" id="{423BE594-2A12-6F51-3005-E2129CB68C3F}"/>
              </a:ext>
            </a:extLst>
          </xdr:cNvPr>
          <xdr:cNvCxnSpPr>
            <a:stCxn id="51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52388</xdr:colOff>
      <xdr:row>23</xdr:row>
      <xdr:rowOff>114300</xdr:rowOff>
    </xdr:from>
    <xdr:to>
      <xdr:col>19</xdr:col>
      <xdr:colOff>61913</xdr:colOff>
      <xdr:row>25</xdr:row>
      <xdr:rowOff>133350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1D4A5360-0C81-97F1-AFDF-6E4226465330}"/>
            </a:ext>
          </a:extLst>
        </xdr:cNvPr>
        <xdr:cNvCxnSpPr>
          <a:stCxn id="51" idx="4"/>
          <a:endCxn id="22" idx="0"/>
        </xdr:cNvCxnSpPr>
      </xdr:nvCxnSpPr>
      <xdr:spPr>
        <a:xfrm>
          <a:off x="6024563" y="3838575"/>
          <a:ext cx="9525" cy="34290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20</xdr:col>
      <xdr:colOff>123825</xdr:colOff>
      <xdr:row>17</xdr:row>
      <xdr:rowOff>28575</xdr:rowOff>
    </xdr:to>
    <xdr:grpSp>
      <xdr:nvGrpSpPr>
        <xdr:cNvPr id="65" name="8 Grupo">
          <a:extLst>
            <a:ext uri="{FF2B5EF4-FFF2-40B4-BE49-F238E27FC236}">
              <a16:creationId xmlns:a16="http://schemas.microsoft.com/office/drawing/2014/main" id="{89BBF11B-2C34-438B-B58A-CCE9B24E14F8}"/>
            </a:ext>
          </a:extLst>
        </xdr:cNvPr>
        <xdr:cNvGrpSpPr/>
      </xdr:nvGrpSpPr>
      <xdr:grpSpPr>
        <a:xfrm>
          <a:off x="5657850" y="2105025"/>
          <a:ext cx="752475" cy="676275"/>
          <a:chOff x="609600" y="447675"/>
          <a:chExt cx="752475" cy="676275"/>
        </a:xfrm>
      </xdr:grpSpPr>
      <xdr:sp macro="" textlink="">
        <xdr:nvSpPr>
          <xdr:cNvPr id="66" name="1 Elipse">
            <a:extLst>
              <a:ext uri="{FF2B5EF4-FFF2-40B4-BE49-F238E27FC236}">
                <a16:creationId xmlns:a16="http://schemas.microsoft.com/office/drawing/2014/main" id="{318C6DE2-BB2E-E113-6A8F-A9C88CA07AA0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67" name="3 Conector recto">
            <a:extLst>
              <a:ext uri="{FF2B5EF4-FFF2-40B4-BE49-F238E27FC236}">
                <a16:creationId xmlns:a16="http://schemas.microsoft.com/office/drawing/2014/main" id="{489981CA-B916-9CD8-86C9-13D0F256E048}"/>
              </a:ext>
            </a:extLst>
          </xdr:cNvPr>
          <xdr:cNvCxnSpPr>
            <a:stCxn id="66" idx="0"/>
            <a:endCxn id="66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5 Conector recto">
            <a:extLst>
              <a:ext uri="{FF2B5EF4-FFF2-40B4-BE49-F238E27FC236}">
                <a16:creationId xmlns:a16="http://schemas.microsoft.com/office/drawing/2014/main" id="{E9E0200F-3133-B5B9-368F-EAE63E69A98A}"/>
              </a:ext>
            </a:extLst>
          </xdr:cNvPr>
          <xdr:cNvCxnSpPr>
            <a:stCxn id="66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194603</xdr:colOff>
      <xdr:row>15</xdr:row>
      <xdr:rowOff>14288</xdr:rowOff>
    </xdr:from>
    <xdr:to>
      <xdr:col>18</xdr:col>
      <xdr:colOff>0</xdr:colOff>
      <xdr:row>20</xdr:row>
      <xdr:rowOff>22838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BEAF55E3-D256-4B77-9728-070CC6A9ACD0}"/>
            </a:ext>
          </a:extLst>
        </xdr:cNvPr>
        <xdr:cNvCxnSpPr>
          <a:stCxn id="34" idx="7"/>
          <a:endCxn id="66" idx="2"/>
        </xdr:cNvCxnSpPr>
      </xdr:nvCxnSpPr>
      <xdr:spPr>
        <a:xfrm flipV="1">
          <a:off x="4909478" y="2443163"/>
          <a:ext cx="748372" cy="818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19</xdr:row>
      <xdr:rowOff>66675</xdr:rowOff>
    </xdr:from>
    <xdr:to>
      <xdr:col>10</xdr:col>
      <xdr:colOff>209550</xdr:colOff>
      <xdr:row>23</xdr:row>
      <xdr:rowOff>95250</xdr:rowOff>
    </xdr:to>
    <xdr:grpSp>
      <xdr:nvGrpSpPr>
        <xdr:cNvPr id="76" name="8 Grupo">
          <a:extLst>
            <a:ext uri="{FF2B5EF4-FFF2-40B4-BE49-F238E27FC236}">
              <a16:creationId xmlns:a16="http://schemas.microsoft.com/office/drawing/2014/main" id="{C186A7A5-70E4-48C8-AB32-9C49995BB6CA}"/>
            </a:ext>
          </a:extLst>
        </xdr:cNvPr>
        <xdr:cNvGrpSpPr/>
      </xdr:nvGrpSpPr>
      <xdr:grpSpPr>
        <a:xfrm>
          <a:off x="2600325" y="3143250"/>
          <a:ext cx="752475" cy="676275"/>
          <a:chOff x="609600" y="447675"/>
          <a:chExt cx="752475" cy="676275"/>
        </a:xfrm>
      </xdr:grpSpPr>
      <xdr:sp macro="" textlink="">
        <xdr:nvSpPr>
          <xdr:cNvPr id="77" name="1 Elipse">
            <a:extLst>
              <a:ext uri="{FF2B5EF4-FFF2-40B4-BE49-F238E27FC236}">
                <a16:creationId xmlns:a16="http://schemas.microsoft.com/office/drawing/2014/main" id="{5079C74C-C0BF-A024-0B4D-0009D24F6AA9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78" name="3 Conector recto">
            <a:extLst>
              <a:ext uri="{FF2B5EF4-FFF2-40B4-BE49-F238E27FC236}">
                <a16:creationId xmlns:a16="http://schemas.microsoft.com/office/drawing/2014/main" id="{46E3958F-18A8-0E04-933A-C01CF02F4C3D}"/>
              </a:ext>
            </a:extLst>
          </xdr:cNvPr>
          <xdr:cNvCxnSpPr>
            <a:stCxn id="77" idx="0"/>
            <a:endCxn id="77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5 Conector recto">
            <a:extLst>
              <a:ext uri="{FF2B5EF4-FFF2-40B4-BE49-F238E27FC236}">
                <a16:creationId xmlns:a16="http://schemas.microsoft.com/office/drawing/2014/main" id="{9B869FB3-18D3-C84E-DF32-2D036AD8E7A1}"/>
              </a:ext>
            </a:extLst>
          </xdr:cNvPr>
          <xdr:cNvCxnSpPr>
            <a:stCxn id="77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209550</xdr:colOff>
      <xdr:row>21</xdr:row>
      <xdr:rowOff>71438</xdr:rowOff>
    </xdr:from>
    <xdr:to>
      <xdr:col>8</xdr:col>
      <xdr:colOff>85725</xdr:colOff>
      <xdr:row>21</xdr:row>
      <xdr:rowOff>80963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5DDC0B87-CAAE-4BD3-AEAC-212F285C4E56}"/>
            </a:ext>
          </a:extLst>
        </xdr:cNvPr>
        <xdr:cNvCxnSpPr>
          <a:stCxn id="85" idx="6"/>
          <a:endCxn id="77" idx="2"/>
        </xdr:cNvCxnSpPr>
      </xdr:nvCxnSpPr>
      <xdr:spPr>
        <a:xfrm>
          <a:off x="1781175" y="3471863"/>
          <a:ext cx="8191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19</xdr:row>
      <xdr:rowOff>57150</xdr:rowOff>
    </xdr:from>
    <xdr:to>
      <xdr:col>5</xdr:col>
      <xdr:colOff>209550</xdr:colOff>
      <xdr:row>23</xdr:row>
      <xdr:rowOff>85725</xdr:rowOff>
    </xdr:to>
    <xdr:grpSp>
      <xdr:nvGrpSpPr>
        <xdr:cNvPr id="84" name="8 Grupo">
          <a:extLst>
            <a:ext uri="{FF2B5EF4-FFF2-40B4-BE49-F238E27FC236}">
              <a16:creationId xmlns:a16="http://schemas.microsoft.com/office/drawing/2014/main" id="{E6FFEB5D-2335-43D7-ADBD-E0B5F91BCF82}"/>
            </a:ext>
          </a:extLst>
        </xdr:cNvPr>
        <xdr:cNvGrpSpPr/>
      </xdr:nvGrpSpPr>
      <xdr:grpSpPr>
        <a:xfrm>
          <a:off x="1028700" y="3133725"/>
          <a:ext cx="752475" cy="676275"/>
          <a:chOff x="609600" y="447675"/>
          <a:chExt cx="752475" cy="676275"/>
        </a:xfrm>
      </xdr:grpSpPr>
      <xdr:sp macro="" textlink="">
        <xdr:nvSpPr>
          <xdr:cNvPr id="85" name="1 Elipse">
            <a:extLst>
              <a:ext uri="{FF2B5EF4-FFF2-40B4-BE49-F238E27FC236}">
                <a16:creationId xmlns:a16="http://schemas.microsoft.com/office/drawing/2014/main" id="{D68345F0-B647-EDAB-FB21-7918C9350BE5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86" name="3 Conector recto">
            <a:extLst>
              <a:ext uri="{FF2B5EF4-FFF2-40B4-BE49-F238E27FC236}">
                <a16:creationId xmlns:a16="http://schemas.microsoft.com/office/drawing/2014/main" id="{B6912318-F981-53B8-5383-078E4167D9CE}"/>
              </a:ext>
            </a:extLst>
          </xdr:cNvPr>
          <xdr:cNvCxnSpPr>
            <a:stCxn id="85" idx="0"/>
            <a:endCxn id="85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5 Conector recto">
            <a:extLst>
              <a:ext uri="{FF2B5EF4-FFF2-40B4-BE49-F238E27FC236}">
                <a16:creationId xmlns:a16="http://schemas.microsoft.com/office/drawing/2014/main" id="{A253F1C4-CBC5-2B45-696E-CCF27FF19AAF}"/>
              </a:ext>
            </a:extLst>
          </xdr:cNvPr>
          <xdr:cNvCxnSpPr>
            <a:stCxn id="85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133350</xdr:colOff>
      <xdr:row>19</xdr:row>
      <xdr:rowOff>28575</xdr:rowOff>
    </xdr:from>
    <xdr:to>
      <xdr:col>31</xdr:col>
      <xdr:colOff>257175</xdr:colOff>
      <xdr:row>23</xdr:row>
      <xdr:rowOff>57150</xdr:rowOff>
    </xdr:to>
    <xdr:grpSp>
      <xdr:nvGrpSpPr>
        <xdr:cNvPr id="89" name="8 Grupo">
          <a:extLst>
            <a:ext uri="{FF2B5EF4-FFF2-40B4-BE49-F238E27FC236}">
              <a16:creationId xmlns:a16="http://schemas.microsoft.com/office/drawing/2014/main" id="{21A40B84-8288-429A-A235-3AFA3BB3E358}"/>
            </a:ext>
          </a:extLst>
        </xdr:cNvPr>
        <xdr:cNvGrpSpPr/>
      </xdr:nvGrpSpPr>
      <xdr:grpSpPr>
        <a:xfrm>
          <a:off x="9248775" y="3105150"/>
          <a:ext cx="752475" cy="676275"/>
          <a:chOff x="609600" y="447675"/>
          <a:chExt cx="752475" cy="676275"/>
        </a:xfrm>
      </xdr:grpSpPr>
      <xdr:sp macro="" textlink="">
        <xdr:nvSpPr>
          <xdr:cNvPr id="90" name="1 Elipse">
            <a:extLst>
              <a:ext uri="{FF2B5EF4-FFF2-40B4-BE49-F238E27FC236}">
                <a16:creationId xmlns:a16="http://schemas.microsoft.com/office/drawing/2014/main" id="{12A48AA9-A232-BB43-44A8-1D27A3198FAB}"/>
              </a:ext>
            </a:extLst>
          </xdr:cNvPr>
          <xdr:cNvSpPr/>
        </xdr:nvSpPr>
        <xdr:spPr>
          <a:xfrm>
            <a:off x="609600" y="447675"/>
            <a:ext cx="752475" cy="67627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endParaRPr lang="es-A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91" name="3 Conector recto">
            <a:extLst>
              <a:ext uri="{FF2B5EF4-FFF2-40B4-BE49-F238E27FC236}">
                <a16:creationId xmlns:a16="http://schemas.microsoft.com/office/drawing/2014/main" id="{A8493A13-587E-F23A-0F2E-206CB4997DE8}"/>
              </a:ext>
            </a:extLst>
          </xdr:cNvPr>
          <xdr:cNvCxnSpPr>
            <a:stCxn id="90" idx="0"/>
            <a:endCxn id="90" idx="4"/>
          </xdr:cNvCxnSpPr>
        </xdr:nvCxnSpPr>
        <xdr:spPr>
          <a:xfrm>
            <a:off x="985838" y="447675"/>
            <a:ext cx="0" cy="6762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5 Conector recto">
            <a:extLst>
              <a:ext uri="{FF2B5EF4-FFF2-40B4-BE49-F238E27FC236}">
                <a16:creationId xmlns:a16="http://schemas.microsoft.com/office/drawing/2014/main" id="{3B40AE26-D0B7-3948-70B4-DCA52A6C8C60}"/>
              </a:ext>
            </a:extLst>
          </xdr:cNvPr>
          <xdr:cNvCxnSpPr>
            <a:stCxn id="90" idx="6"/>
          </xdr:cNvCxnSpPr>
        </xdr:nvCxnSpPr>
        <xdr:spPr>
          <a:xfrm flipH="1">
            <a:off x="1000125" y="785813"/>
            <a:ext cx="361950" cy="476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12</xdr:row>
      <xdr:rowOff>152400</xdr:rowOff>
    </xdr:from>
    <xdr:to>
      <xdr:col>3</xdr:col>
      <xdr:colOff>714375</xdr:colOff>
      <xdr:row>12</xdr:row>
      <xdr:rowOff>152400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447800" y="2095500"/>
          <a:ext cx="6572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</xdr:row>
      <xdr:rowOff>0</xdr:rowOff>
    </xdr:from>
    <xdr:to>
      <xdr:col>6</xdr:col>
      <xdr:colOff>704850</xdr:colOff>
      <xdr:row>13</xdr:row>
      <xdr:rowOff>0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828925" y="2105025"/>
          <a:ext cx="6572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9525</xdr:rowOff>
    </xdr:from>
    <xdr:to>
      <xdr:col>9</xdr:col>
      <xdr:colOff>714375</xdr:colOff>
      <xdr:row>13</xdr:row>
      <xdr:rowOff>0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4191000" y="1304925"/>
          <a:ext cx="695325" cy="80010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</xdr:row>
      <xdr:rowOff>0</xdr:rowOff>
    </xdr:from>
    <xdr:to>
      <xdr:col>9</xdr:col>
      <xdr:colOff>695325</xdr:colOff>
      <xdr:row>13</xdr:row>
      <xdr:rowOff>0</xdr:rowOff>
    </xdr:to>
    <xdr:cxnSp macro="">
      <xdr:nvCxnSpPr>
        <xdr:cNvPr id="7" name="6 Conector recto de flecha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4210050" y="2105025"/>
          <a:ext cx="65722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</xdr:row>
      <xdr:rowOff>19050</xdr:rowOff>
    </xdr:from>
    <xdr:to>
      <xdr:col>9</xdr:col>
      <xdr:colOff>723900</xdr:colOff>
      <xdr:row>18</xdr:row>
      <xdr:rowOff>9525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4210050" y="2124075"/>
          <a:ext cx="685800" cy="80010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13</xdr:row>
      <xdr:rowOff>0</xdr:rowOff>
    </xdr:from>
    <xdr:to>
      <xdr:col>12</xdr:col>
      <xdr:colOff>723900</xdr:colOff>
      <xdr:row>13</xdr:row>
      <xdr:rowOff>0</xdr:rowOff>
    </xdr:to>
    <xdr:cxnSp macro="">
      <xdr:nvCxnSpPr>
        <xdr:cNvPr id="11" name="10 Conector recto de flecha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5629275" y="2105025"/>
          <a:ext cx="65722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13</xdr:row>
      <xdr:rowOff>9525</xdr:rowOff>
    </xdr:from>
    <xdr:to>
      <xdr:col>15</xdr:col>
      <xdr:colOff>695325</xdr:colOff>
      <xdr:row>13</xdr:row>
      <xdr:rowOff>9525</xdr:rowOff>
    </xdr:to>
    <xdr:cxnSp macro="">
      <xdr:nvCxnSpPr>
        <xdr:cNvPr id="12" name="11 Conector recto de flecha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991350" y="2114550"/>
          <a:ext cx="65722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8</xdr:row>
      <xdr:rowOff>28575</xdr:rowOff>
    </xdr:from>
    <xdr:to>
      <xdr:col>12</xdr:col>
      <xdr:colOff>714375</xdr:colOff>
      <xdr:row>12</xdr:row>
      <xdr:rowOff>95250</xdr:rowOff>
    </xdr:to>
    <xdr:cxnSp macro="">
      <xdr:nvCxnSpPr>
        <xdr:cNvPr id="13" name="12 Conector recto de flecha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5591175" y="1323975"/>
          <a:ext cx="685800" cy="714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13</xdr:row>
      <xdr:rowOff>66675</xdr:rowOff>
    </xdr:from>
    <xdr:to>
      <xdr:col>12</xdr:col>
      <xdr:colOff>714375</xdr:colOff>
      <xdr:row>17</xdr:row>
      <xdr:rowOff>142876</xdr:rowOff>
    </xdr:to>
    <xdr:cxnSp macro="">
      <xdr:nvCxnSpPr>
        <xdr:cNvPr id="18" name="17 Conector recto de flecha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V="1">
          <a:off x="5581650" y="2171700"/>
          <a:ext cx="695325" cy="72390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34018</xdr:colOff>
      <xdr:row>14</xdr:row>
      <xdr:rowOff>27214</xdr:rowOff>
    </xdr:from>
    <xdr:to>
      <xdr:col>11</xdr:col>
      <xdr:colOff>38100</xdr:colOff>
      <xdr:row>17</xdr:row>
      <xdr:rowOff>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1A2BD169-D600-4F85-8260-2E21FC8726DD}"/>
            </a:ext>
          </a:extLst>
        </xdr:cNvPr>
        <xdr:cNvCxnSpPr/>
      </xdr:nvCxnSpPr>
      <xdr:spPr>
        <a:xfrm>
          <a:off x="5272768" y="2313214"/>
          <a:ext cx="4082" cy="46264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562841</xdr:colOff>
      <xdr:row>12</xdr:row>
      <xdr:rowOff>96944</xdr:rowOff>
    </xdr:from>
    <xdr:to>
      <xdr:col>11</xdr:col>
      <xdr:colOff>43295</xdr:colOff>
      <xdr:row>25</xdr:row>
      <xdr:rowOff>118630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6145050-582C-457F-9289-D7CDBD16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2841" y="2564785"/>
          <a:ext cx="4710545" cy="22990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307730</xdr:colOff>
      <xdr:row>12</xdr:row>
      <xdr:rowOff>146538</xdr:rowOff>
    </xdr:from>
    <xdr:to>
      <xdr:col>10</xdr:col>
      <xdr:colOff>0</xdr:colOff>
      <xdr:row>22</xdr:row>
      <xdr:rowOff>21981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452D875-E526-2314-CBC3-FE7DBF3D3903}"/>
            </a:ext>
          </a:extLst>
        </xdr:cNvPr>
        <xdr:cNvCxnSpPr/>
      </xdr:nvCxnSpPr>
      <xdr:spPr>
        <a:xfrm>
          <a:off x="3590192" y="542192"/>
          <a:ext cx="7327" cy="148736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7327</xdr:colOff>
      <xdr:row>12</xdr:row>
      <xdr:rowOff>153865</xdr:rowOff>
    </xdr:from>
    <xdr:to>
      <xdr:col>12</xdr:col>
      <xdr:colOff>7327</xdr:colOff>
      <xdr:row>13</xdr:row>
      <xdr:rowOff>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C365662F-55FB-F877-D2FF-FE733987120E}"/>
            </a:ext>
          </a:extLst>
        </xdr:cNvPr>
        <xdr:cNvCxnSpPr/>
      </xdr:nvCxnSpPr>
      <xdr:spPr>
        <a:xfrm flipV="1">
          <a:off x="3604846" y="549519"/>
          <a:ext cx="630116" cy="73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5861</xdr:colOff>
      <xdr:row>15</xdr:row>
      <xdr:rowOff>152399</xdr:rowOff>
    </xdr:from>
    <xdr:to>
      <xdr:col>12</xdr:col>
      <xdr:colOff>5861</xdr:colOff>
      <xdr:row>15</xdr:row>
      <xdr:rowOff>159726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B23B587-D216-4B93-AC0D-5A168176C552}"/>
            </a:ext>
          </a:extLst>
        </xdr:cNvPr>
        <xdr:cNvCxnSpPr/>
      </xdr:nvCxnSpPr>
      <xdr:spPr>
        <a:xfrm flipV="1">
          <a:off x="3603380" y="1031630"/>
          <a:ext cx="630116" cy="73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311813</xdr:colOff>
      <xdr:row>15</xdr:row>
      <xdr:rowOff>146538</xdr:rowOff>
    </xdr:from>
    <xdr:to>
      <xdr:col>14</xdr:col>
      <xdr:colOff>0</xdr:colOff>
      <xdr:row>22</xdr:row>
      <xdr:rowOff>8373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EB796964-CF3A-4DA2-8489-992533519746}"/>
            </a:ext>
          </a:extLst>
        </xdr:cNvPr>
        <xdr:cNvCxnSpPr/>
      </xdr:nvCxnSpPr>
      <xdr:spPr>
        <a:xfrm flipH="1">
          <a:off x="4854505" y="1025769"/>
          <a:ext cx="3245" cy="99018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5860</xdr:colOff>
      <xdr:row>15</xdr:row>
      <xdr:rowOff>152400</xdr:rowOff>
    </xdr:from>
    <xdr:to>
      <xdr:col>13</xdr:col>
      <xdr:colOff>307731</xdr:colOff>
      <xdr:row>15</xdr:row>
      <xdr:rowOff>153865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9862B66-EB5B-410C-B5FB-754B07B30F1B}"/>
            </a:ext>
          </a:extLst>
        </xdr:cNvPr>
        <xdr:cNvCxnSpPr/>
      </xdr:nvCxnSpPr>
      <xdr:spPr>
        <a:xfrm flipH="1" flipV="1">
          <a:off x="4233495" y="1031631"/>
          <a:ext cx="616928" cy="1465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306265</xdr:colOff>
      <xdr:row>12</xdr:row>
      <xdr:rowOff>146538</xdr:rowOff>
    </xdr:from>
    <xdr:to>
      <xdr:col>15</xdr:col>
      <xdr:colOff>7327</xdr:colOff>
      <xdr:row>12</xdr:row>
      <xdr:rowOff>152399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9F7FC158-59CD-4870-961E-AE1AAA3504CB}"/>
            </a:ext>
          </a:extLst>
        </xdr:cNvPr>
        <xdr:cNvCxnSpPr/>
      </xdr:nvCxnSpPr>
      <xdr:spPr>
        <a:xfrm flipV="1">
          <a:off x="4218842" y="542192"/>
          <a:ext cx="961293" cy="58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297472</xdr:colOff>
      <xdr:row>12</xdr:row>
      <xdr:rowOff>136281</xdr:rowOff>
    </xdr:from>
    <xdr:to>
      <xdr:col>16</xdr:col>
      <xdr:colOff>284285</xdr:colOff>
      <xdr:row>12</xdr:row>
      <xdr:rowOff>137746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10E6988-1E9E-4103-A0BA-D6642EF62808}"/>
            </a:ext>
          </a:extLst>
        </xdr:cNvPr>
        <xdr:cNvCxnSpPr/>
      </xdr:nvCxnSpPr>
      <xdr:spPr>
        <a:xfrm flipH="1" flipV="1">
          <a:off x="5155222" y="531935"/>
          <a:ext cx="616928" cy="1465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</xdr:row>
      <xdr:rowOff>153865</xdr:rowOff>
    </xdr:from>
    <xdr:to>
      <xdr:col>17</xdr:col>
      <xdr:colOff>2617</xdr:colOff>
      <xdr:row>21</xdr:row>
      <xdr:rowOff>160772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70F31481-FC3D-4189-922A-94FA30E07735}"/>
            </a:ext>
          </a:extLst>
        </xdr:cNvPr>
        <xdr:cNvCxnSpPr/>
      </xdr:nvCxnSpPr>
      <xdr:spPr>
        <a:xfrm>
          <a:off x="5802923" y="549519"/>
          <a:ext cx="2617" cy="1457638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312127</xdr:colOff>
      <xdr:row>15</xdr:row>
      <xdr:rowOff>109904</xdr:rowOff>
    </xdr:from>
    <xdr:to>
      <xdr:col>16</xdr:col>
      <xdr:colOff>7327</xdr:colOff>
      <xdr:row>15</xdr:row>
      <xdr:rowOff>114299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7D96C0F-4413-4C5A-A809-F8029D7C0866}"/>
            </a:ext>
          </a:extLst>
        </xdr:cNvPr>
        <xdr:cNvCxnSpPr/>
      </xdr:nvCxnSpPr>
      <xdr:spPr>
        <a:xfrm flipV="1">
          <a:off x="4224704" y="989135"/>
          <a:ext cx="1270488" cy="43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2930</xdr:colOff>
      <xdr:row>15</xdr:row>
      <xdr:rowOff>109904</xdr:rowOff>
    </xdr:from>
    <xdr:to>
      <xdr:col>16</xdr:col>
      <xdr:colOff>307731</xdr:colOff>
      <xdr:row>15</xdr:row>
      <xdr:rowOff>112834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E0C360A4-3BC9-4A98-B47B-A86ABDA8119B}"/>
            </a:ext>
          </a:extLst>
        </xdr:cNvPr>
        <xdr:cNvCxnSpPr/>
      </xdr:nvCxnSpPr>
      <xdr:spPr>
        <a:xfrm flipH="1">
          <a:off x="5490795" y="989135"/>
          <a:ext cx="304801" cy="2930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313592</xdr:colOff>
      <xdr:row>34</xdr:row>
      <xdr:rowOff>20515</xdr:rowOff>
    </xdr:from>
    <xdr:to>
      <xdr:col>13</xdr:col>
      <xdr:colOff>313593</xdr:colOff>
      <xdr:row>34</xdr:row>
      <xdr:rowOff>27842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43BD89D5-E9CE-4599-BEB8-F2E315BB382A}"/>
            </a:ext>
          </a:extLst>
        </xdr:cNvPr>
        <xdr:cNvCxnSpPr/>
      </xdr:nvCxnSpPr>
      <xdr:spPr>
        <a:xfrm flipV="1">
          <a:off x="4226169" y="3713284"/>
          <a:ext cx="630116" cy="73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29308</xdr:colOff>
      <xdr:row>34</xdr:row>
      <xdr:rowOff>36635</xdr:rowOff>
    </xdr:from>
    <xdr:to>
      <xdr:col>11</xdr:col>
      <xdr:colOff>300403</xdr:colOff>
      <xdr:row>34</xdr:row>
      <xdr:rowOff>36635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E2E6E62A-30C5-403D-A153-A6460096DC6D}"/>
            </a:ext>
          </a:extLst>
        </xdr:cNvPr>
        <xdr:cNvCxnSpPr/>
      </xdr:nvCxnSpPr>
      <xdr:spPr>
        <a:xfrm>
          <a:off x="3626827" y="3729404"/>
          <a:ext cx="586153" cy="0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7327</xdr:colOff>
      <xdr:row>26</xdr:row>
      <xdr:rowOff>21981</xdr:rowOff>
    </xdr:from>
    <xdr:to>
      <xdr:col>10</xdr:col>
      <xdr:colOff>14654</xdr:colOff>
      <xdr:row>34</xdr:row>
      <xdr:rowOff>29308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FEC49823-BFE6-4441-9375-EB7F4D587DF0}"/>
            </a:ext>
          </a:extLst>
        </xdr:cNvPr>
        <xdr:cNvCxnSpPr/>
      </xdr:nvCxnSpPr>
      <xdr:spPr>
        <a:xfrm flipH="1">
          <a:off x="3604846" y="2425212"/>
          <a:ext cx="7327" cy="1296865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11723</xdr:colOff>
      <xdr:row>31</xdr:row>
      <xdr:rowOff>26376</xdr:rowOff>
    </xdr:from>
    <xdr:to>
      <xdr:col>13</xdr:col>
      <xdr:colOff>11724</xdr:colOff>
      <xdr:row>31</xdr:row>
      <xdr:rowOff>33703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D3BFD4AD-F743-4153-B29E-71D0554E772A}"/>
            </a:ext>
          </a:extLst>
        </xdr:cNvPr>
        <xdr:cNvCxnSpPr/>
      </xdr:nvCxnSpPr>
      <xdr:spPr>
        <a:xfrm flipV="1">
          <a:off x="3924300" y="3235568"/>
          <a:ext cx="630116" cy="73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16118</xdr:colOff>
      <xdr:row>31</xdr:row>
      <xdr:rowOff>35170</xdr:rowOff>
    </xdr:from>
    <xdr:to>
      <xdr:col>11</xdr:col>
      <xdr:colOff>5861</xdr:colOff>
      <xdr:row>31</xdr:row>
      <xdr:rowOff>38100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253572BE-5128-4812-8E9D-CF06B806DD3E}"/>
            </a:ext>
          </a:extLst>
        </xdr:cNvPr>
        <xdr:cNvCxnSpPr/>
      </xdr:nvCxnSpPr>
      <xdr:spPr>
        <a:xfrm flipH="1">
          <a:off x="3613637" y="3244362"/>
          <a:ext cx="304801" cy="2930"/>
        </a:xfrm>
        <a:prstGeom prst="line">
          <a:avLst/>
        </a:prstGeom>
        <a:ln>
          <a:solidFill>
            <a:srgbClr val="FF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14654</xdr:colOff>
      <xdr:row>25</xdr:row>
      <xdr:rowOff>160773</xdr:rowOff>
    </xdr:from>
    <xdr:to>
      <xdr:col>14</xdr:col>
      <xdr:colOff>17270</xdr:colOff>
      <xdr:row>29</xdr:row>
      <xdr:rowOff>153865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DCB9EA64-30B9-4F14-8BB5-2447B7B66E36}"/>
            </a:ext>
          </a:extLst>
        </xdr:cNvPr>
        <xdr:cNvCxnSpPr/>
      </xdr:nvCxnSpPr>
      <xdr:spPr>
        <a:xfrm flipV="1">
          <a:off x="4872404" y="2402811"/>
          <a:ext cx="2616" cy="637862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ys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26</xdr:row>
      <xdr:rowOff>14654</xdr:rowOff>
    </xdr:from>
    <xdr:to>
      <xdr:col>17</xdr:col>
      <xdr:colOff>7327</xdr:colOff>
      <xdr:row>34</xdr:row>
      <xdr:rowOff>51289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A668EDE-D0B9-4A29-849D-9B21F8215F34}"/>
            </a:ext>
          </a:extLst>
        </xdr:cNvPr>
        <xdr:cNvCxnSpPr/>
      </xdr:nvCxnSpPr>
      <xdr:spPr>
        <a:xfrm flipV="1">
          <a:off x="5802923" y="2417885"/>
          <a:ext cx="7327" cy="13261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21981</xdr:colOff>
      <xdr:row>31</xdr:row>
      <xdr:rowOff>14654</xdr:rowOff>
    </xdr:from>
    <xdr:to>
      <xdr:col>17</xdr:col>
      <xdr:colOff>14654</xdr:colOff>
      <xdr:row>31</xdr:row>
      <xdr:rowOff>21981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70E20D1B-1292-46DE-B0EC-A671CB96AAF0}"/>
            </a:ext>
          </a:extLst>
        </xdr:cNvPr>
        <xdr:cNvCxnSpPr/>
      </xdr:nvCxnSpPr>
      <xdr:spPr>
        <a:xfrm flipH="1">
          <a:off x="4564673" y="3223846"/>
          <a:ext cx="1252904" cy="73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313593</xdr:colOff>
      <xdr:row>34</xdr:row>
      <xdr:rowOff>20516</xdr:rowOff>
    </xdr:from>
    <xdr:to>
      <xdr:col>16</xdr:col>
      <xdr:colOff>293077</xdr:colOff>
      <xdr:row>34</xdr:row>
      <xdr:rowOff>29308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439ACF0D-FB72-4F5E-98C1-C61C6B54E0B5}"/>
            </a:ext>
          </a:extLst>
        </xdr:cNvPr>
        <xdr:cNvCxnSpPr/>
      </xdr:nvCxnSpPr>
      <xdr:spPr>
        <a:xfrm flipH="1" flipV="1">
          <a:off x="4856285" y="3713285"/>
          <a:ext cx="924657" cy="87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183173</xdr:colOff>
      <xdr:row>3</xdr:row>
      <xdr:rowOff>106573</xdr:rowOff>
    </xdr:from>
    <xdr:to>
      <xdr:col>26</xdr:col>
      <xdr:colOff>420637</xdr:colOff>
      <xdr:row>16</xdr:row>
      <xdr:rowOff>111907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1CB086A-26C4-2912-5C23-CDABE8980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2558" y="341035"/>
          <a:ext cx="4047464" cy="2086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8:AC27"/>
  <sheetViews>
    <sheetView tabSelected="1" workbookViewId="0">
      <selection activeCell="C2" sqref="C2"/>
    </sheetView>
  </sheetViews>
  <sheetFormatPr baseColWidth="10" defaultRowHeight="12.75" x14ac:dyDescent="0.2"/>
  <cols>
    <col min="1" max="38" width="4.7109375" customWidth="1"/>
  </cols>
  <sheetData>
    <row r="18" spans="7:29" x14ac:dyDescent="0.2">
      <c r="Q18" t="s">
        <v>2</v>
      </c>
      <c r="X18" t="s">
        <v>3</v>
      </c>
    </row>
    <row r="21" spans="7:29" x14ac:dyDescent="0.2">
      <c r="G21" t="s">
        <v>1</v>
      </c>
      <c r="L21" t="s">
        <v>0</v>
      </c>
      <c r="X21" t="s">
        <v>5</v>
      </c>
      <c r="AC21" t="s">
        <v>8</v>
      </c>
    </row>
    <row r="23" spans="7:29" x14ac:dyDescent="0.2">
      <c r="Q23" t="s">
        <v>6</v>
      </c>
    </row>
    <row r="26" spans="7:29" x14ac:dyDescent="0.2">
      <c r="X26" t="s">
        <v>7</v>
      </c>
    </row>
    <row r="27" spans="7:29" x14ac:dyDescent="0.2">
      <c r="P27" t="s">
        <v>4</v>
      </c>
    </row>
  </sheetData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R20"/>
  <sheetViews>
    <sheetView showGridLines="0" topLeftCell="B4" zoomScale="140" zoomScaleNormal="140" workbookViewId="0">
      <selection activeCell="F19" sqref="F19"/>
    </sheetView>
  </sheetViews>
  <sheetFormatPr baseColWidth="10" defaultRowHeight="12.75" x14ac:dyDescent="0.2"/>
  <cols>
    <col min="1" max="1" width="11.42578125" style="11"/>
    <col min="2" max="3" width="4.7109375" style="11" customWidth="1"/>
    <col min="4" max="4" width="11.42578125" style="11"/>
    <col min="5" max="6" width="4.7109375" style="11" customWidth="1"/>
    <col min="7" max="7" width="11.42578125" style="11"/>
    <col min="8" max="9" width="4.7109375" style="11" customWidth="1"/>
    <col min="10" max="10" width="11.42578125" style="11"/>
    <col min="11" max="11" width="4.7109375" style="11" customWidth="1"/>
    <col min="12" max="12" width="4.7109375" style="12" customWidth="1"/>
    <col min="13" max="13" width="11.42578125" style="11"/>
    <col min="14" max="14" width="4.7109375" style="11" customWidth="1"/>
    <col min="15" max="15" width="4.7109375" style="12" customWidth="1"/>
    <col min="16" max="16" width="11.42578125" style="11"/>
    <col min="17" max="17" width="4.7109375" style="11" customWidth="1"/>
    <col min="18" max="18" width="4.7109375" style="12" customWidth="1"/>
    <col min="19" max="16384" width="11.42578125" style="11"/>
  </cols>
  <sheetData>
    <row r="8" spans="1:18" x14ac:dyDescent="0.2">
      <c r="A8" s="11" t="s">
        <v>10</v>
      </c>
      <c r="K8" s="48">
        <v>4</v>
      </c>
      <c r="L8" s="32">
        <f>+J10+I13</f>
        <v>10</v>
      </c>
      <c r="Q8" s="11" t="s">
        <v>17</v>
      </c>
    </row>
    <row r="9" spans="1:18" x14ac:dyDescent="0.2">
      <c r="A9" s="11" t="s">
        <v>9</v>
      </c>
      <c r="K9" s="49"/>
      <c r="L9" s="32">
        <f>+O14-M10</f>
        <v>12</v>
      </c>
      <c r="Q9" s="11" t="s">
        <v>16</v>
      </c>
    </row>
    <row r="10" spans="1:18" x14ac:dyDescent="0.2">
      <c r="J10" s="12">
        <v>2</v>
      </c>
      <c r="M10" s="12">
        <v>3</v>
      </c>
    </row>
    <row r="11" spans="1:18" x14ac:dyDescent="0.2">
      <c r="J11" s="13"/>
    </row>
    <row r="12" spans="1:18" x14ac:dyDescent="0.2">
      <c r="I12" s="34" t="s">
        <v>20</v>
      </c>
      <c r="L12" s="34" t="s">
        <v>19</v>
      </c>
      <c r="N12" s="36" t="s">
        <v>13</v>
      </c>
    </row>
    <row r="13" spans="1:18" x14ac:dyDescent="0.2">
      <c r="B13" s="48">
        <v>1</v>
      </c>
      <c r="C13" s="32">
        <v>0</v>
      </c>
      <c r="D13" s="12">
        <v>3</v>
      </c>
      <c r="E13" s="48">
        <v>2</v>
      </c>
      <c r="F13" s="32">
        <f>+C13+D13</f>
        <v>3</v>
      </c>
      <c r="G13" s="12">
        <v>5</v>
      </c>
      <c r="H13" s="48">
        <v>3</v>
      </c>
      <c r="I13" s="32">
        <f>+G13+F13</f>
        <v>8</v>
      </c>
      <c r="J13" s="12">
        <v>2</v>
      </c>
      <c r="K13" s="48">
        <v>5</v>
      </c>
      <c r="L13" s="32">
        <f>+J13+I13</f>
        <v>10</v>
      </c>
      <c r="M13" s="12">
        <v>4</v>
      </c>
      <c r="N13" s="48">
        <v>7</v>
      </c>
      <c r="O13" s="32">
        <v>15</v>
      </c>
      <c r="P13" s="12">
        <v>2</v>
      </c>
      <c r="Q13" s="48">
        <v>8</v>
      </c>
      <c r="R13" s="32">
        <v>17</v>
      </c>
    </row>
    <row r="14" spans="1:18" x14ac:dyDescent="0.2">
      <c r="B14" s="49"/>
      <c r="C14" s="32">
        <v>0</v>
      </c>
      <c r="E14" s="49"/>
      <c r="F14" s="32">
        <f>+I14-G13</f>
        <v>3</v>
      </c>
      <c r="H14" s="49"/>
      <c r="I14" s="32">
        <v>8</v>
      </c>
      <c r="J14" s="38" t="s">
        <v>21</v>
      </c>
      <c r="K14" s="49"/>
      <c r="L14" s="37">
        <v>11</v>
      </c>
      <c r="M14" s="34" t="s">
        <v>14</v>
      </c>
      <c r="N14" s="49"/>
      <c r="O14" s="32">
        <f>+R14-P13</f>
        <v>15</v>
      </c>
      <c r="Q14" s="49"/>
      <c r="R14" s="32">
        <f>+R13</f>
        <v>17</v>
      </c>
    </row>
    <row r="15" spans="1:18" x14ac:dyDescent="0.2">
      <c r="I15" s="38" t="s">
        <v>22</v>
      </c>
      <c r="L15" s="35" t="s">
        <v>18</v>
      </c>
      <c r="N15" s="36" t="s">
        <v>15</v>
      </c>
    </row>
    <row r="16" spans="1:18" x14ac:dyDescent="0.2">
      <c r="L16" s="12">
        <v>0</v>
      </c>
      <c r="M16" s="12"/>
    </row>
    <row r="17" spans="3:13" x14ac:dyDescent="0.2">
      <c r="C17" s="11" t="s">
        <v>23</v>
      </c>
      <c r="D17" s="12">
        <f>+D13+G13+J17+M17+P13</f>
        <v>17</v>
      </c>
      <c r="J17" s="12">
        <v>4</v>
      </c>
      <c r="K17" s="35" t="s">
        <v>12</v>
      </c>
      <c r="M17" s="12">
        <v>3</v>
      </c>
    </row>
    <row r="18" spans="3:13" x14ac:dyDescent="0.2">
      <c r="K18" s="48">
        <v>6</v>
      </c>
      <c r="L18" s="32">
        <v>12</v>
      </c>
    </row>
    <row r="19" spans="3:13" x14ac:dyDescent="0.2">
      <c r="K19" s="49"/>
      <c r="L19" s="32">
        <f>+O14-M17</f>
        <v>12</v>
      </c>
    </row>
    <row r="20" spans="3:13" x14ac:dyDescent="0.2">
      <c r="J20" s="33" t="s">
        <v>11</v>
      </c>
    </row>
  </sheetData>
  <mergeCells count="8">
    <mergeCell ref="B13:B14"/>
    <mergeCell ref="E13:E14"/>
    <mergeCell ref="H13:H14"/>
    <mergeCell ref="K8:K9"/>
    <mergeCell ref="K13:K14"/>
    <mergeCell ref="K18:K19"/>
    <mergeCell ref="N13:N14"/>
    <mergeCell ref="Q13:Q14"/>
  </mergeCells>
  <pageMargins left="0.7" right="0.7" top="0.75" bottom="0.75" header="0.3" footer="0.3"/>
  <pageSetup orientation="portrait" r:id="rId1"/>
  <headerFooter>
    <oddHeader>&amp;R&amp;"Calibri"&amp;10&amp;K000000 Documento: Personal&amp;1#_x000D_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3837-BBE1-4529-9D6F-94107EAD2711}">
  <dimension ref="A1:R14"/>
  <sheetViews>
    <sheetView showGridLines="0" zoomScale="110" zoomScaleNormal="110" workbookViewId="0">
      <selection activeCell="E3" sqref="E3"/>
    </sheetView>
  </sheetViews>
  <sheetFormatPr baseColWidth="10" defaultRowHeight="12.75" x14ac:dyDescent="0.2"/>
  <cols>
    <col min="1" max="1" width="11.42578125" style="52"/>
    <col min="2" max="3" width="4.7109375" style="52" customWidth="1"/>
    <col min="4" max="4" width="11.42578125" style="52"/>
    <col min="5" max="6" width="4.7109375" style="52" customWidth="1"/>
    <col min="7" max="7" width="11.42578125" style="52"/>
    <col min="8" max="9" width="4.7109375" style="52" customWidth="1"/>
    <col min="10" max="10" width="11.42578125" style="52"/>
    <col min="11" max="11" width="4.7109375" style="52" customWidth="1"/>
    <col min="12" max="12" width="4.7109375" style="53" customWidth="1"/>
    <col min="13" max="13" width="11.42578125" style="52"/>
    <col min="14" max="14" width="4.7109375" style="52" customWidth="1"/>
    <col min="15" max="15" width="4.7109375" style="53" customWidth="1"/>
    <col min="16" max="16" width="11.42578125" style="52"/>
    <col min="17" max="17" width="4.7109375" style="52" customWidth="1"/>
    <col min="18" max="18" width="4.7109375" style="53" customWidth="1"/>
    <col min="19" max="16384" width="11.42578125" style="52"/>
  </cols>
  <sheetData>
    <row r="1" spans="1:13" ht="13.5" thickBot="1" x14ac:dyDescent="0.25"/>
    <row r="2" spans="1:13" ht="24" thickBot="1" x14ac:dyDescent="0.4">
      <c r="A2" s="54"/>
      <c r="B2" s="54"/>
      <c r="C2" s="55"/>
      <c r="D2" s="56" t="s">
        <v>26</v>
      </c>
      <c r="E2" s="57"/>
      <c r="F2" s="58"/>
      <c r="G2" s="59" t="s">
        <v>27</v>
      </c>
      <c r="H2" s="60"/>
      <c r="I2" s="61"/>
      <c r="J2" s="59" t="s">
        <v>28</v>
      </c>
      <c r="K2" s="60"/>
      <c r="L2" s="61"/>
      <c r="M2" s="62"/>
    </row>
    <row r="3" spans="1:13" ht="26.25" thickBot="1" x14ac:dyDescent="0.25">
      <c r="A3" s="63" t="s">
        <v>29</v>
      </c>
      <c r="B3" s="63" t="s">
        <v>30</v>
      </c>
      <c r="C3" s="64" t="s">
        <v>31</v>
      </c>
      <c r="D3" s="65" t="s">
        <v>32</v>
      </c>
      <c r="E3" s="66" t="s">
        <v>33</v>
      </c>
      <c r="F3" s="67" t="s">
        <v>34</v>
      </c>
      <c r="G3" s="68" t="s">
        <v>35</v>
      </c>
      <c r="H3" s="63" t="s">
        <v>33</v>
      </c>
      <c r="I3" s="63" t="s">
        <v>36</v>
      </c>
      <c r="J3" s="63" t="s">
        <v>35</v>
      </c>
      <c r="K3" s="63" t="s">
        <v>37</v>
      </c>
      <c r="L3" s="63" t="s">
        <v>38</v>
      </c>
      <c r="M3" s="63" t="s">
        <v>39</v>
      </c>
    </row>
    <row r="4" spans="1:13" ht="13.5" thickTop="1" x14ac:dyDescent="0.2">
      <c r="A4" s="69" t="s">
        <v>40</v>
      </c>
      <c r="B4" s="70" t="s">
        <v>41</v>
      </c>
      <c r="C4" s="71">
        <v>3</v>
      </c>
      <c r="D4" s="72">
        <v>3</v>
      </c>
      <c r="E4" s="73">
        <v>0</v>
      </c>
      <c r="F4" s="74">
        <f>+D4-E4-C4</f>
        <v>0</v>
      </c>
      <c r="G4" s="75">
        <v>3</v>
      </c>
      <c r="H4" s="76">
        <v>0</v>
      </c>
      <c r="I4" s="77">
        <f>+G4-H4-C4</f>
        <v>0</v>
      </c>
      <c r="J4" s="76">
        <v>3</v>
      </c>
      <c r="K4" s="73">
        <v>0</v>
      </c>
      <c r="L4" s="77">
        <f>+J4-K4-C4</f>
        <v>0</v>
      </c>
      <c r="M4" s="78" t="str">
        <f>+IF(AND(F4=0,I4=0,L4=0),"Sí","No")</f>
        <v>Sí</v>
      </c>
    </row>
    <row r="5" spans="1:13" x14ac:dyDescent="0.2">
      <c r="A5" s="79" t="s">
        <v>42</v>
      </c>
      <c r="B5" s="80" t="s">
        <v>0</v>
      </c>
      <c r="C5" s="81">
        <v>5</v>
      </c>
      <c r="D5" s="82">
        <v>8</v>
      </c>
      <c r="E5" s="83">
        <v>3</v>
      </c>
      <c r="F5" s="84">
        <f>+D5-E5-C5</f>
        <v>0</v>
      </c>
      <c r="G5" s="85">
        <v>8</v>
      </c>
      <c r="H5" s="83">
        <v>3</v>
      </c>
      <c r="I5" s="86">
        <f>+G5-H5-C5</f>
        <v>0</v>
      </c>
      <c r="J5" s="83">
        <f>+G5</f>
        <v>8</v>
      </c>
      <c r="K5" s="83">
        <v>3</v>
      </c>
      <c r="L5" s="86">
        <f>+J5-K5-C5</f>
        <v>0</v>
      </c>
      <c r="M5" s="87" t="str">
        <f>+IF(AND(F5=0,I5=0,L5=0),"Sí","No")</f>
        <v>Sí</v>
      </c>
    </row>
    <row r="6" spans="1:13" x14ac:dyDescent="0.2">
      <c r="A6" s="79" t="s">
        <v>43</v>
      </c>
      <c r="B6" s="80" t="s">
        <v>44</v>
      </c>
      <c r="C6" s="81">
        <v>2</v>
      </c>
      <c r="D6" s="82">
        <v>12</v>
      </c>
      <c r="E6" s="83">
        <v>8</v>
      </c>
      <c r="F6" s="88">
        <f t="shared" ref="F6:F12" si="0">+D6-E6-C6</f>
        <v>2</v>
      </c>
      <c r="G6" s="85">
        <v>10</v>
      </c>
      <c r="H6" s="83">
        <v>8</v>
      </c>
      <c r="I6" s="83">
        <f t="shared" ref="I6:I12" si="1">+G6-H6-C6</f>
        <v>0</v>
      </c>
      <c r="J6" s="83">
        <f t="shared" ref="J6:J11" si="2">+G6</f>
        <v>10</v>
      </c>
      <c r="K6" s="83">
        <v>8</v>
      </c>
      <c r="L6" s="83">
        <f t="shared" ref="L6:L11" si="3">+J6-K6-C6</f>
        <v>0</v>
      </c>
      <c r="M6" s="87" t="str">
        <f t="shared" ref="M6:M11" si="4">+IF(AND(F6=0,I6=0,L6=0),"Sí","No")</f>
        <v>No</v>
      </c>
    </row>
    <row r="7" spans="1:13" ht="25.5" x14ac:dyDescent="0.2">
      <c r="A7" s="79" t="s">
        <v>45</v>
      </c>
      <c r="B7" s="80" t="s">
        <v>46</v>
      </c>
      <c r="C7" s="81">
        <v>2</v>
      </c>
      <c r="D7" s="82">
        <v>11</v>
      </c>
      <c r="E7" s="83">
        <v>8</v>
      </c>
      <c r="F7" s="88">
        <f t="shared" si="0"/>
        <v>1</v>
      </c>
      <c r="G7" s="85">
        <v>10</v>
      </c>
      <c r="H7" s="83">
        <v>8</v>
      </c>
      <c r="I7" s="83">
        <f t="shared" si="1"/>
        <v>0</v>
      </c>
      <c r="J7" s="83">
        <f t="shared" si="2"/>
        <v>10</v>
      </c>
      <c r="K7" s="83">
        <v>8</v>
      </c>
      <c r="L7" s="83">
        <f t="shared" si="3"/>
        <v>0</v>
      </c>
      <c r="M7" s="87" t="str">
        <f t="shared" si="4"/>
        <v>No</v>
      </c>
    </row>
    <row r="8" spans="1:13" x14ac:dyDescent="0.2">
      <c r="A8" s="79" t="s">
        <v>47</v>
      </c>
      <c r="B8" s="80" t="s">
        <v>48</v>
      </c>
      <c r="C8" s="81">
        <v>4</v>
      </c>
      <c r="D8" s="82">
        <v>12</v>
      </c>
      <c r="E8" s="83">
        <v>8</v>
      </c>
      <c r="F8" s="84">
        <f t="shared" si="0"/>
        <v>0</v>
      </c>
      <c r="G8" s="85">
        <v>12</v>
      </c>
      <c r="H8" s="83">
        <v>8</v>
      </c>
      <c r="I8" s="86">
        <f t="shared" si="1"/>
        <v>0</v>
      </c>
      <c r="J8" s="83">
        <f t="shared" si="2"/>
        <v>12</v>
      </c>
      <c r="K8" s="83">
        <v>8</v>
      </c>
      <c r="L8" s="86">
        <f t="shared" si="3"/>
        <v>0</v>
      </c>
      <c r="M8" s="87" t="str">
        <f t="shared" si="4"/>
        <v>Sí</v>
      </c>
    </row>
    <row r="9" spans="1:13" x14ac:dyDescent="0.2">
      <c r="A9" s="79" t="s">
        <v>49</v>
      </c>
      <c r="B9" s="80" t="s">
        <v>3</v>
      </c>
      <c r="C9" s="81">
        <v>3</v>
      </c>
      <c r="D9" s="82">
        <v>15</v>
      </c>
      <c r="E9" s="83">
        <v>10</v>
      </c>
      <c r="F9" s="88">
        <f t="shared" si="0"/>
        <v>2</v>
      </c>
      <c r="G9" s="85">
        <v>15</v>
      </c>
      <c r="H9" s="83">
        <v>10</v>
      </c>
      <c r="I9" s="83">
        <f t="shared" si="1"/>
        <v>2</v>
      </c>
      <c r="J9" s="83">
        <f t="shared" si="2"/>
        <v>15</v>
      </c>
      <c r="K9" s="83">
        <v>12</v>
      </c>
      <c r="L9" s="83">
        <f t="shared" si="3"/>
        <v>0</v>
      </c>
      <c r="M9" s="87" t="str">
        <f t="shared" si="4"/>
        <v>No</v>
      </c>
    </row>
    <row r="10" spans="1:13" x14ac:dyDescent="0.2">
      <c r="A10" s="79" t="s">
        <v>50</v>
      </c>
      <c r="B10" s="80" t="s">
        <v>5</v>
      </c>
      <c r="C10" s="81">
        <v>4</v>
      </c>
      <c r="D10" s="82">
        <v>15</v>
      </c>
      <c r="E10" s="83">
        <v>10</v>
      </c>
      <c r="F10" s="88">
        <f t="shared" si="0"/>
        <v>1</v>
      </c>
      <c r="G10" s="85">
        <v>15</v>
      </c>
      <c r="H10" s="83">
        <v>10</v>
      </c>
      <c r="I10" s="83">
        <f t="shared" si="1"/>
        <v>1</v>
      </c>
      <c r="J10" s="83">
        <f t="shared" si="2"/>
        <v>15</v>
      </c>
      <c r="K10" s="83">
        <v>11</v>
      </c>
      <c r="L10" s="83">
        <f t="shared" si="3"/>
        <v>0</v>
      </c>
      <c r="M10" s="87" t="str">
        <f t="shared" si="4"/>
        <v>No</v>
      </c>
    </row>
    <row r="11" spans="1:13" x14ac:dyDescent="0.2">
      <c r="A11" s="79" t="s">
        <v>51</v>
      </c>
      <c r="B11" s="80" t="s">
        <v>52</v>
      </c>
      <c r="C11" s="81">
        <v>3</v>
      </c>
      <c r="D11" s="82">
        <v>15</v>
      </c>
      <c r="E11" s="83">
        <v>12</v>
      </c>
      <c r="F11" s="84">
        <f t="shared" si="0"/>
        <v>0</v>
      </c>
      <c r="G11" s="85">
        <v>15</v>
      </c>
      <c r="H11" s="83">
        <v>12</v>
      </c>
      <c r="I11" s="86">
        <f t="shared" si="1"/>
        <v>0</v>
      </c>
      <c r="J11" s="83">
        <f t="shared" si="2"/>
        <v>15</v>
      </c>
      <c r="K11" s="83">
        <v>12</v>
      </c>
      <c r="L11" s="86">
        <f t="shared" si="3"/>
        <v>0</v>
      </c>
      <c r="M11" s="87" t="str">
        <f t="shared" si="4"/>
        <v>Sí</v>
      </c>
    </row>
    <row r="12" spans="1:13" ht="13.5" thickBot="1" x14ac:dyDescent="0.25">
      <c r="A12" s="89" t="s">
        <v>53</v>
      </c>
      <c r="B12" s="90" t="s">
        <v>54</v>
      </c>
      <c r="C12" s="91">
        <v>2</v>
      </c>
      <c r="D12" s="92">
        <v>17</v>
      </c>
      <c r="E12" s="93">
        <v>15</v>
      </c>
      <c r="F12" s="94">
        <f t="shared" si="0"/>
        <v>0</v>
      </c>
      <c r="G12" s="95">
        <v>17</v>
      </c>
      <c r="H12" s="96">
        <v>15</v>
      </c>
      <c r="I12" s="97">
        <f t="shared" si="1"/>
        <v>0</v>
      </c>
      <c r="J12" s="96">
        <f>+G12</f>
        <v>17</v>
      </c>
      <c r="K12" s="96">
        <v>15</v>
      </c>
      <c r="L12" s="97">
        <f>+J12-K12-C12</f>
        <v>0</v>
      </c>
      <c r="M12" s="98" t="str">
        <f>+IF(AND(F12=0,I12=0,L12=0),"Sí","No")</f>
        <v>Sí</v>
      </c>
    </row>
    <row r="14" spans="1:13" ht="24" customHeight="1" x14ac:dyDescent="0.2"/>
  </sheetData>
  <mergeCells count="3">
    <mergeCell ref="D2:F2"/>
    <mergeCell ref="G2:I2"/>
    <mergeCell ref="J2:L2"/>
  </mergeCells>
  <pageMargins left="0.7" right="0.7" top="0.75" bottom="0.75" header="0.3" footer="0.3"/>
  <pageSetup orientation="portrait" r:id="rId1"/>
  <headerFooter>
    <oddHeader>&amp;R&amp;"Calibri"&amp;10&amp;K000000 Documento: Personal&amp;1#_x000D_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showGridLines="0" zoomScale="130" zoomScaleNormal="130" workbookViewId="0">
      <selection activeCell="U12" sqref="U12"/>
    </sheetView>
  </sheetViews>
  <sheetFormatPr baseColWidth="10" defaultRowHeight="12.75" x14ac:dyDescent="0.2"/>
  <cols>
    <col min="1" max="1" width="11.42578125" style="11"/>
    <col min="2" max="18" width="4.7109375" style="11" customWidth="1"/>
    <col min="19" max="19" width="0.7109375" style="11" customWidth="1"/>
    <col min="20" max="21" width="4.7109375" style="11" customWidth="1"/>
    <col min="22" max="16384" width="11.42578125" style="11"/>
  </cols>
  <sheetData>
    <row r="1" spans="2:21" x14ac:dyDescent="0.2">
      <c r="B1" s="11">
        <v>0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  <c r="L1" s="11">
        <v>10</v>
      </c>
      <c r="M1" s="11">
        <v>11</v>
      </c>
      <c r="N1" s="11">
        <v>12</v>
      </c>
      <c r="O1" s="11">
        <v>13</v>
      </c>
      <c r="P1" s="11">
        <v>14</v>
      </c>
      <c r="Q1" s="11">
        <v>15</v>
      </c>
      <c r="R1" s="51">
        <v>16</v>
      </c>
      <c r="S1" s="51"/>
      <c r="T1" s="11">
        <v>17</v>
      </c>
    </row>
    <row r="2" spans="2:21" ht="3" customHeight="1" thickBot="1" x14ac:dyDescent="0.25">
      <c r="C2" s="22"/>
      <c r="D2" s="25"/>
      <c r="E2" s="21"/>
      <c r="F2" s="22"/>
      <c r="G2" s="22"/>
      <c r="H2" s="25"/>
      <c r="I2" s="25"/>
      <c r="J2" s="25"/>
      <c r="K2" s="21"/>
      <c r="L2" s="22"/>
      <c r="M2" s="25"/>
      <c r="N2" s="21"/>
      <c r="O2" s="22"/>
      <c r="P2" s="25"/>
      <c r="Q2" s="25"/>
      <c r="R2" s="21"/>
      <c r="S2" s="28"/>
      <c r="T2" s="28"/>
    </row>
    <row r="3" spans="2:21" ht="3" customHeight="1" x14ac:dyDescent="0.2">
      <c r="C3" s="24"/>
      <c r="D3" s="26"/>
      <c r="F3" s="23"/>
      <c r="G3" s="23"/>
      <c r="H3" s="26"/>
      <c r="I3" s="26"/>
      <c r="J3" s="26"/>
      <c r="L3" s="23"/>
      <c r="M3" s="23"/>
      <c r="N3" s="27"/>
      <c r="O3" s="23"/>
      <c r="P3" s="26"/>
      <c r="Q3" s="26"/>
      <c r="T3" s="24"/>
    </row>
    <row r="4" spans="2:21" s="39" customFormat="1" ht="12" x14ac:dyDescent="0.2">
      <c r="B4" s="44" t="s">
        <v>1</v>
      </c>
      <c r="C4" s="43">
        <v>30</v>
      </c>
      <c r="D4" s="40"/>
      <c r="E4" s="99">
        <v>20</v>
      </c>
      <c r="F4" s="43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1"/>
      <c r="T4" s="40"/>
    </row>
    <row r="5" spans="2:21" s="42" customFormat="1" ht="12" x14ac:dyDescent="0.2">
      <c r="B5" s="44" t="s">
        <v>0</v>
      </c>
      <c r="C5" s="40"/>
      <c r="D5" s="40"/>
      <c r="E5" s="40"/>
      <c r="F5" s="43">
        <v>60</v>
      </c>
      <c r="G5" s="40"/>
      <c r="H5" s="40"/>
      <c r="I5" s="40"/>
      <c r="J5" s="99">
        <v>40</v>
      </c>
      <c r="K5" s="43"/>
      <c r="L5" s="40"/>
      <c r="M5" s="40"/>
      <c r="N5" s="40"/>
      <c r="O5" s="40"/>
      <c r="P5" s="40"/>
      <c r="Q5" s="40"/>
      <c r="R5" s="41"/>
      <c r="S5" s="39"/>
      <c r="T5" s="40"/>
    </row>
    <row r="6" spans="2:21" x14ac:dyDescent="0.2">
      <c r="B6" s="44" t="s">
        <v>2</v>
      </c>
      <c r="C6" s="101"/>
      <c r="D6" s="101"/>
      <c r="E6" s="101"/>
      <c r="F6" s="101"/>
      <c r="G6" s="101"/>
      <c r="H6" s="101"/>
      <c r="I6" s="101"/>
      <c r="J6" s="101"/>
      <c r="K6" s="43">
        <v>48</v>
      </c>
      <c r="L6" s="99">
        <v>32</v>
      </c>
      <c r="M6" s="43"/>
      <c r="N6" s="101"/>
      <c r="O6" s="101"/>
      <c r="P6" s="101"/>
      <c r="Q6" s="101"/>
      <c r="R6" s="103"/>
      <c r="S6" s="104"/>
      <c r="T6" s="101"/>
    </row>
    <row r="7" spans="2:21" x14ac:dyDescent="0.2">
      <c r="B7" s="44" t="s">
        <v>6</v>
      </c>
      <c r="C7" s="101"/>
      <c r="D7" s="101"/>
      <c r="E7" s="101"/>
      <c r="F7" s="101"/>
      <c r="G7" s="101"/>
      <c r="H7" s="101"/>
      <c r="I7" s="101"/>
      <c r="J7" s="101"/>
      <c r="K7" s="43">
        <v>18</v>
      </c>
      <c r="L7" s="99">
        <v>12</v>
      </c>
      <c r="M7" s="43"/>
      <c r="N7" s="101"/>
      <c r="O7" s="101"/>
      <c r="P7" s="101"/>
      <c r="Q7" s="101"/>
      <c r="R7" s="103"/>
      <c r="S7" s="104"/>
      <c r="T7" s="101"/>
    </row>
    <row r="8" spans="2:21" x14ac:dyDescent="0.2">
      <c r="B8" s="44" t="s">
        <v>4</v>
      </c>
      <c r="C8" s="101"/>
      <c r="D8" s="101"/>
      <c r="E8" s="101"/>
      <c r="F8" s="101"/>
      <c r="G8" s="101"/>
      <c r="H8" s="101"/>
      <c r="I8" s="101"/>
      <c r="J8" s="101"/>
      <c r="K8" s="43">
        <v>36</v>
      </c>
      <c r="L8" s="101"/>
      <c r="M8" s="101"/>
      <c r="N8" s="99">
        <v>24</v>
      </c>
      <c r="O8" s="43"/>
      <c r="P8" s="101"/>
      <c r="Q8" s="101"/>
      <c r="R8" s="103"/>
      <c r="S8" s="104"/>
      <c r="T8" s="101"/>
    </row>
    <row r="9" spans="2:21" x14ac:dyDescent="0.2">
      <c r="B9" s="44" t="s">
        <v>3</v>
      </c>
      <c r="C9" s="101"/>
      <c r="D9" s="101"/>
      <c r="E9" s="101"/>
      <c r="F9" s="43"/>
      <c r="G9" s="101"/>
      <c r="H9" s="101"/>
      <c r="I9" s="101"/>
      <c r="J9" s="101"/>
      <c r="K9" s="43"/>
      <c r="L9" s="101"/>
      <c r="M9" s="43">
        <v>48</v>
      </c>
      <c r="N9" s="101"/>
      <c r="O9" s="99">
        <v>32</v>
      </c>
      <c r="P9" s="43"/>
      <c r="Q9" s="101"/>
      <c r="R9" s="103"/>
      <c r="S9" s="104"/>
      <c r="T9" s="101"/>
    </row>
    <row r="10" spans="2:21" x14ac:dyDescent="0.2">
      <c r="B10" s="44" t="s">
        <v>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43"/>
      <c r="M10" s="43">
        <v>60</v>
      </c>
      <c r="N10" s="101"/>
      <c r="O10" s="101"/>
      <c r="P10" s="99">
        <v>40</v>
      </c>
      <c r="Q10" s="43"/>
      <c r="R10" s="103"/>
      <c r="S10" s="104"/>
      <c r="T10" s="101"/>
    </row>
    <row r="11" spans="2:21" x14ac:dyDescent="0.2">
      <c r="B11" s="44" t="s">
        <v>7</v>
      </c>
      <c r="C11" s="101"/>
      <c r="D11" s="101"/>
      <c r="E11" s="101"/>
      <c r="F11" s="101"/>
      <c r="G11" s="101"/>
      <c r="H11" s="101"/>
      <c r="I11" s="101"/>
      <c r="J11" s="101"/>
      <c r="K11" s="101"/>
      <c r="L11" s="43"/>
      <c r="M11" s="43"/>
      <c r="N11" s="101"/>
      <c r="O11" s="43">
        <v>108</v>
      </c>
      <c r="P11" s="101"/>
      <c r="Q11" s="99">
        <v>72</v>
      </c>
      <c r="R11" s="47"/>
      <c r="S11" s="104"/>
      <c r="T11" s="101"/>
    </row>
    <row r="12" spans="2:21" x14ac:dyDescent="0.2">
      <c r="B12" s="44" t="s">
        <v>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47">
        <v>300</v>
      </c>
      <c r="S12" s="104"/>
      <c r="T12" s="99">
        <v>200</v>
      </c>
      <c r="U12" s="46"/>
    </row>
    <row r="13" spans="2:21" x14ac:dyDescent="0.2">
      <c r="B13" s="44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1"/>
      <c r="T13" s="30"/>
    </row>
    <row r="14" spans="2:21" x14ac:dyDescent="0.2">
      <c r="B14" s="45"/>
      <c r="C14" s="30"/>
      <c r="D14" s="30"/>
      <c r="E14" s="30"/>
      <c r="F14" s="30"/>
      <c r="G14" s="30"/>
      <c r="H14" s="30"/>
      <c r="I14" s="30"/>
      <c r="J14" s="30"/>
      <c r="K14" s="31"/>
      <c r="L14" s="48">
        <v>4</v>
      </c>
      <c r="M14" s="32">
        <v>10</v>
      </c>
      <c r="N14" s="29"/>
      <c r="O14" s="30"/>
      <c r="P14" s="30"/>
      <c r="Q14" s="30"/>
      <c r="R14" s="31"/>
      <c r="T14" s="30"/>
    </row>
    <row r="15" spans="2:21" x14ac:dyDescent="0.2">
      <c r="B15" s="45"/>
      <c r="C15" s="30"/>
      <c r="D15" s="30"/>
      <c r="E15" s="30"/>
      <c r="F15" s="30"/>
      <c r="G15" s="30"/>
      <c r="H15" s="30"/>
      <c r="I15" s="30"/>
      <c r="J15" s="30"/>
      <c r="K15" s="31"/>
      <c r="L15" s="49"/>
      <c r="M15" s="10"/>
      <c r="N15" s="29"/>
      <c r="O15" s="30"/>
      <c r="P15" s="30"/>
      <c r="Q15" s="30"/>
      <c r="R15" s="31"/>
      <c r="T15" s="30"/>
    </row>
    <row r="16" spans="2:21" x14ac:dyDescent="0.2"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1"/>
      <c r="T16" s="30"/>
    </row>
    <row r="17" spans="1:21" x14ac:dyDescent="0.2"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48">
        <v>5</v>
      </c>
      <c r="M17" s="32">
        <v>10</v>
      </c>
      <c r="N17" s="30"/>
      <c r="O17" s="30"/>
      <c r="P17" s="30"/>
      <c r="Q17" s="30"/>
      <c r="R17" s="31"/>
      <c r="T17" s="30"/>
    </row>
    <row r="18" spans="1:21" x14ac:dyDescent="0.2"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49"/>
      <c r="M18" s="10"/>
      <c r="N18" s="30"/>
      <c r="O18" s="30"/>
      <c r="P18" s="30"/>
      <c r="Q18" s="30"/>
      <c r="R18" s="31"/>
      <c r="T18" s="30"/>
    </row>
    <row r="19" spans="1:21" x14ac:dyDescent="0.2"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1"/>
      <c r="T19" s="30"/>
    </row>
    <row r="20" spans="1:21" x14ac:dyDescent="0.2">
      <c r="A20" s="11" t="s">
        <v>24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T20" s="30"/>
    </row>
    <row r="21" spans="1:21" x14ac:dyDescent="0.2"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  <c r="T21" s="30"/>
    </row>
    <row r="23" spans="1:21" x14ac:dyDescent="0.2">
      <c r="B23" s="50">
        <v>1</v>
      </c>
      <c r="C23" s="50">
        <v>0</v>
      </c>
      <c r="D23" s="14"/>
      <c r="E23" s="50">
        <v>2</v>
      </c>
      <c r="F23" s="50">
        <v>3</v>
      </c>
      <c r="G23" s="18"/>
      <c r="H23" s="18"/>
      <c r="I23" s="18"/>
      <c r="J23" s="50">
        <v>3</v>
      </c>
      <c r="K23" s="50">
        <v>8</v>
      </c>
      <c r="L23" s="18"/>
      <c r="M23" s="18"/>
      <c r="N23" s="50">
        <v>6</v>
      </c>
      <c r="O23" s="50">
        <v>12</v>
      </c>
      <c r="P23" s="12"/>
      <c r="Q23" s="50">
        <v>7</v>
      </c>
      <c r="R23" s="50">
        <v>15</v>
      </c>
      <c r="S23" s="12"/>
      <c r="T23" s="50">
        <v>8</v>
      </c>
      <c r="U23" s="50">
        <v>17</v>
      </c>
    </row>
    <row r="24" spans="1:21" ht="3" customHeight="1" x14ac:dyDescent="0.2">
      <c r="B24" s="50"/>
      <c r="C24" s="50"/>
      <c r="D24" s="15"/>
      <c r="E24" s="50"/>
      <c r="F24" s="50"/>
      <c r="G24" s="19"/>
      <c r="H24" s="20"/>
      <c r="I24" s="17"/>
      <c r="J24" s="50"/>
      <c r="K24" s="50"/>
      <c r="L24" s="20"/>
      <c r="M24" s="17"/>
      <c r="N24" s="50"/>
      <c r="O24" s="50"/>
      <c r="P24" s="16"/>
      <c r="Q24" s="50"/>
      <c r="R24" s="50"/>
      <c r="S24" s="16"/>
      <c r="T24" s="50"/>
      <c r="U24" s="50"/>
    </row>
    <row r="25" spans="1:21" ht="3" customHeight="1" x14ac:dyDescent="0.2">
      <c r="B25" s="50"/>
      <c r="C25" s="50">
        <v>0</v>
      </c>
      <c r="D25" s="14"/>
      <c r="E25" s="50"/>
      <c r="F25" s="50">
        <v>3</v>
      </c>
      <c r="G25" s="18"/>
      <c r="H25" s="18"/>
      <c r="I25" s="18"/>
      <c r="J25" s="50"/>
      <c r="K25" s="50">
        <v>8</v>
      </c>
      <c r="L25" s="18"/>
      <c r="M25" s="18"/>
      <c r="N25" s="50"/>
      <c r="O25" s="50">
        <v>12</v>
      </c>
      <c r="Q25" s="50"/>
      <c r="R25" s="50">
        <v>15</v>
      </c>
      <c r="T25" s="50"/>
      <c r="U25" s="50">
        <v>17</v>
      </c>
    </row>
    <row r="26" spans="1:21" x14ac:dyDescent="0.2">
      <c r="B26" s="50"/>
      <c r="C26" s="50"/>
      <c r="E26" s="50"/>
      <c r="F26" s="50"/>
      <c r="G26" s="18"/>
      <c r="H26" s="18"/>
      <c r="I26" s="18"/>
      <c r="J26" s="50"/>
      <c r="K26" s="50"/>
      <c r="L26" s="18"/>
      <c r="M26" s="18"/>
      <c r="N26" s="50"/>
      <c r="O26" s="50"/>
      <c r="Q26" s="50"/>
      <c r="R26" s="50"/>
      <c r="T26" s="50"/>
      <c r="U26" s="50"/>
    </row>
    <row r="27" spans="1:21" x14ac:dyDescent="0.2">
      <c r="P27" s="12"/>
    </row>
    <row r="28" spans="1:21" x14ac:dyDescent="0.2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  <c r="T28" s="30"/>
    </row>
    <row r="29" spans="1:21" x14ac:dyDescent="0.2">
      <c r="A29" s="11" t="s">
        <v>25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1"/>
      <c r="T29" s="30"/>
    </row>
    <row r="30" spans="1:21" x14ac:dyDescent="0.2"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8">
        <v>5</v>
      </c>
      <c r="N30" s="32"/>
      <c r="O30" s="30"/>
      <c r="P30" s="30"/>
      <c r="Q30" s="30"/>
      <c r="R30" s="31"/>
      <c r="T30" s="30"/>
    </row>
    <row r="31" spans="1:21" x14ac:dyDescent="0.2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9"/>
      <c r="N31" s="32">
        <v>11</v>
      </c>
      <c r="O31" s="30"/>
      <c r="P31" s="30"/>
      <c r="Q31" s="30"/>
      <c r="R31" s="31"/>
      <c r="T31" s="30"/>
    </row>
    <row r="32" spans="1:21" x14ac:dyDescent="0.2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T32" s="30"/>
    </row>
    <row r="33" spans="1:20" x14ac:dyDescent="0.2"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48">
        <v>4</v>
      </c>
      <c r="O33" s="32"/>
      <c r="P33" s="30"/>
      <c r="Q33" s="30"/>
      <c r="R33" s="31"/>
      <c r="T33" s="30"/>
    </row>
    <row r="34" spans="1:20" x14ac:dyDescent="0.2"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49"/>
      <c r="O34" s="32">
        <v>12</v>
      </c>
      <c r="P34" s="30"/>
      <c r="Q34" s="30"/>
      <c r="R34" s="31"/>
      <c r="T34" s="30"/>
    </row>
    <row r="35" spans="1:20" x14ac:dyDescent="0.2"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1"/>
      <c r="T35" s="30"/>
    </row>
    <row r="36" spans="1:20" x14ac:dyDescent="0.2">
      <c r="A36" s="39"/>
      <c r="B36" s="44" t="s">
        <v>1</v>
      </c>
      <c r="C36" s="43">
        <v>30</v>
      </c>
      <c r="D36" s="40"/>
      <c r="E36" s="99">
        <v>20</v>
      </c>
      <c r="F36" s="43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  <c r="S36" s="39"/>
      <c r="T36" s="40"/>
    </row>
    <row r="37" spans="1:20" x14ac:dyDescent="0.2">
      <c r="A37" s="42"/>
      <c r="B37" s="44" t="s">
        <v>0</v>
      </c>
      <c r="C37" s="40"/>
      <c r="D37" s="40"/>
      <c r="E37" s="100"/>
      <c r="F37" s="43">
        <v>60</v>
      </c>
      <c r="G37" s="40"/>
      <c r="H37" s="40"/>
      <c r="I37" s="40"/>
      <c r="J37" s="99">
        <v>40</v>
      </c>
      <c r="K37" s="43"/>
      <c r="L37" s="40"/>
      <c r="M37" s="40"/>
      <c r="N37" s="40"/>
      <c r="O37" s="40"/>
      <c r="P37" s="40"/>
      <c r="Q37" s="40"/>
      <c r="R37" s="41"/>
      <c r="S37" s="39"/>
      <c r="T37" s="40"/>
    </row>
    <row r="38" spans="1:20" x14ac:dyDescent="0.2">
      <c r="B38" s="44" t="s">
        <v>2</v>
      </c>
      <c r="C38" s="101"/>
      <c r="D38" s="101"/>
      <c r="E38" s="101"/>
      <c r="F38" s="101"/>
      <c r="G38" s="101"/>
      <c r="H38" s="101"/>
      <c r="I38" s="101"/>
      <c r="J38" s="101"/>
      <c r="K38" s="43"/>
      <c r="L38" s="99"/>
      <c r="M38" s="43">
        <v>48</v>
      </c>
      <c r="N38" s="102">
        <v>32</v>
      </c>
      <c r="O38" s="101"/>
      <c r="P38" s="101"/>
      <c r="Q38" s="101"/>
      <c r="R38" s="103"/>
      <c r="S38" s="104"/>
      <c r="T38" s="101"/>
    </row>
    <row r="39" spans="1:20" x14ac:dyDescent="0.2">
      <c r="B39" s="44" t="s">
        <v>6</v>
      </c>
      <c r="C39" s="101"/>
      <c r="D39" s="101"/>
      <c r="E39" s="101"/>
      <c r="F39" s="101"/>
      <c r="G39" s="101"/>
      <c r="H39" s="101"/>
      <c r="I39" s="101"/>
      <c r="J39" s="101"/>
      <c r="K39" s="43"/>
      <c r="L39" s="43">
        <v>18</v>
      </c>
      <c r="M39" s="99">
        <v>12</v>
      </c>
      <c r="N39" s="101"/>
      <c r="O39" s="101"/>
      <c r="P39" s="101"/>
      <c r="Q39" s="101"/>
      <c r="R39" s="103"/>
      <c r="S39" s="104"/>
      <c r="T39" s="101"/>
    </row>
    <row r="40" spans="1:20" x14ac:dyDescent="0.2">
      <c r="B40" s="44" t="s">
        <v>4</v>
      </c>
      <c r="C40" s="101"/>
      <c r="D40" s="101"/>
      <c r="E40" s="101"/>
      <c r="F40" s="101"/>
      <c r="G40" s="101"/>
      <c r="H40" s="101"/>
      <c r="I40" s="101"/>
      <c r="J40" s="101"/>
      <c r="K40" s="43">
        <v>36</v>
      </c>
      <c r="L40" s="101"/>
      <c r="M40" s="101"/>
      <c r="N40" s="99">
        <v>24</v>
      </c>
      <c r="O40" s="43"/>
      <c r="P40" s="101"/>
      <c r="Q40" s="101"/>
      <c r="R40" s="103"/>
      <c r="S40" s="104"/>
      <c r="T40" s="101"/>
    </row>
    <row r="41" spans="1:20" x14ac:dyDescent="0.2">
      <c r="B41" s="44" t="s">
        <v>3</v>
      </c>
      <c r="C41" s="101"/>
      <c r="D41" s="101"/>
      <c r="E41" s="101"/>
      <c r="F41" s="43"/>
      <c r="G41" s="101"/>
      <c r="H41" s="101"/>
      <c r="I41" s="101"/>
      <c r="J41" s="101"/>
      <c r="K41" s="43"/>
      <c r="L41" s="101"/>
      <c r="M41" s="43"/>
      <c r="N41" s="101"/>
      <c r="O41" s="43">
        <v>48</v>
      </c>
      <c r="P41" s="43"/>
      <c r="Q41" s="102">
        <v>32</v>
      </c>
      <c r="R41" s="103"/>
      <c r="S41" s="104"/>
      <c r="T41" s="101"/>
    </row>
    <row r="42" spans="1:20" x14ac:dyDescent="0.2">
      <c r="B42" s="44" t="s">
        <v>5</v>
      </c>
      <c r="C42" s="101"/>
      <c r="D42" s="101"/>
      <c r="E42" s="101"/>
      <c r="F42" s="101"/>
      <c r="G42" s="101"/>
      <c r="H42" s="101"/>
      <c r="I42" s="101"/>
      <c r="J42" s="101"/>
      <c r="K42" s="101"/>
      <c r="L42" s="43"/>
      <c r="M42" s="43"/>
      <c r="N42" s="43">
        <v>60</v>
      </c>
      <c r="O42" s="101"/>
      <c r="P42" s="99"/>
      <c r="Q42" s="99">
        <v>40</v>
      </c>
      <c r="R42" s="103"/>
      <c r="S42" s="104"/>
      <c r="T42" s="101"/>
    </row>
    <row r="43" spans="1:20" x14ac:dyDescent="0.2">
      <c r="B43" s="44" t="s">
        <v>7</v>
      </c>
      <c r="C43" s="101"/>
      <c r="D43" s="101"/>
      <c r="E43" s="101"/>
      <c r="F43" s="101"/>
      <c r="G43" s="101"/>
      <c r="H43" s="101"/>
      <c r="I43" s="101"/>
      <c r="J43" s="101"/>
      <c r="K43" s="101"/>
      <c r="L43" s="43"/>
      <c r="M43" s="43"/>
      <c r="N43" s="101"/>
      <c r="O43" s="43">
        <v>108</v>
      </c>
      <c r="P43" s="101"/>
      <c r="Q43" s="99">
        <v>72</v>
      </c>
      <c r="R43" s="47"/>
      <c r="S43" s="104"/>
      <c r="T43" s="101"/>
    </row>
    <row r="44" spans="1:20" x14ac:dyDescent="0.2">
      <c r="B44" s="44" t="s">
        <v>8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47">
        <v>300</v>
      </c>
      <c r="S44" s="104"/>
      <c r="T44" s="99">
        <v>200</v>
      </c>
    </row>
    <row r="46" spans="1:20" ht="3" customHeight="1" thickBot="1" x14ac:dyDescent="0.25">
      <c r="C46" s="22"/>
      <c r="D46" s="25"/>
      <c r="E46" s="21"/>
      <c r="F46" s="22"/>
      <c r="G46" s="22"/>
      <c r="H46" s="25"/>
      <c r="I46" s="25"/>
      <c r="J46" s="25"/>
      <c r="K46" s="21"/>
      <c r="L46" s="22"/>
      <c r="M46" s="25"/>
      <c r="N46" s="21"/>
      <c r="O46" s="22"/>
      <c r="P46" s="25"/>
      <c r="Q46" s="25"/>
      <c r="R46" s="21"/>
      <c r="S46" s="28"/>
      <c r="T46" s="28"/>
    </row>
    <row r="47" spans="1:20" ht="3" customHeight="1" x14ac:dyDescent="0.2">
      <c r="C47" s="24"/>
      <c r="D47" s="26"/>
      <c r="F47" s="23"/>
      <c r="G47" s="23"/>
      <c r="H47" s="26"/>
      <c r="I47" s="26"/>
      <c r="J47" s="26"/>
      <c r="L47" s="23"/>
      <c r="M47" s="23"/>
      <c r="N47" s="27"/>
      <c r="O47" s="23"/>
      <c r="P47" s="26"/>
      <c r="Q47" s="26"/>
      <c r="T47" s="24"/>
    </row>
    <row r="48" spans="1:20" x14ac:dyDescent="0.2">
      <c r="B48" s="11">
        <v>0</v>
      </c>
      <c r="C48" s="11">
        <v>1</v>
      </c>
      <c r="D48" s="11">
        <v>2</v>
      </c>
      <c r="E48" s="11">
        <v>3</v>
      </c>
      <c r="F48" s="11">
        <v>4</v>
      </c>
      <c r="G48" s="11">
        <v>5</v>
      </c>
      <c r="H48" s="11">
        <v>6</v>
      </c>
      <c r="I48" s="11">
        <v>7</v>
      </c>
      <c r="J48" s="11">
        <v>8</v>
      </c>
      <c r="K48" s="11">
        <v>9</v>
      </c>
      <c r="L48" s="11">
        <v>10</v>
      </c>
      <c r="M48" s="11">
        <v>11</v>
      </c>
      <c r="N48" s="11">
        <v>12</v>
      </c>
      <c r="O48" s="11">
        <v>13</v>
      </c>
      <c r="P48" s="11">
        <v>14</v>
      </c>
      <c r="Q48" s="11">
        <v>15</v>
      </c>
      <c r="R48" s="51">
        <v>16</v>
      </c>
      <c r="S48" s="51"/>
      <c r="T48" s="11">
        <v>17</v>
      </c>
    </row>
  </sheetData>
  <mergeCells count="24">
    <mergeCell ref="R48:S48"/>
    <mergeCell ref="R1:S1"/>
    <mergeCell ref="Q23:Q26"/>
    <mergeCell ref="R23:R24"/>
    <mergeCell ref="R25:R26"/>
    <mergeCell ref="T23:T26"/>
    <mergeCell ref="U23:U24"/>
    <mergeCell ref="U25:U26"/>
    <mergeCell ref="C23:C24"/>
    <mergeCell ref="C25:C26"/>
    <mergeCell ref="K23:K24"/>
    <mergeCell ref="K25:K26"/>
    <mergeCell ref="N23:N26"/>
    <mergeCell ref="O23:O24"/>
    <mergeCell ref="O25:O26"/>
    <mergeCell ref="N33:N34"/>
    <mergeCell ref="M30:M31"/>
    <mergeCell ref="L14:L15"/>
    <mergeCell ref="L17:L18"/>
    <mergeCell ref="B23:B26"/>
    <mergeCell ref="E23:E26"/>
    <mergeCell ref="F23:F24"/>
    <mergeCell ref="F25:F26"/>
    <mergeCell ref="J23:J26"/>
  </mergeCells>
  <pageMargins left="0.7" right="0.7" top="0.75" bottom="0.75" header="0.3" footer="0.3"/>
  <pageSetup orientation="portrait" r:id="rId1"/>
  <headerFooter>
    <oddHeader>&amp;R&amp;"Calibri"&amp;10&amp;K000000 Documento: Personal&amp;1#_x000D_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C24" sqref="C24"/>
    </sheetView>
  </sheetViews>
  <sheetFormatPr baseColWidth="10" defaultRowHeight="12.75" x14ac:dyDescent="0.2"/>
  <cols>
    <col min="1" max="16384" width="11.42578125" style="1"/>
  </cols>
  <sheetData>
    <row r="1" spans="1:6" ht="18.75" x14ac:dyDescent="0.3">
      <c r="A1" s="9"/>
      <c r="C1" s="8">
        <v>0.01</v>
      </c>
      <c r="F1" s="6"/>
    </row>
    <row r="2" spans="1:6" ht="18.75" x14ac:dyDescent="0.3">
      <c r="B2" s="7">
        <v>-500</v>
      </c>
      <c r="D2" s="1">
        <v>-500</v>
      </c>
      <c r="F2" s="6"/>
    </row>
    <row r="3" spans="1:6" ht="18.75" x14ac:dyDescent="0.3">
      <c r="A3" s="1">
        <v>1</v>
      </c>
      <c r="B3" s="1">
        <v>30</v>
      </c>
      <c r="C3" s="4">
        <f t="shared" ref="C3:C20" si="0">+B3/((1+$C$1)^A3)</f>
        <v>29.702970297029704</v>
      </c>
      <c r="D3" s="1">
        <v>30</v>
      </c>
      <c r="E3" s="4">
        <f t="shared" ref="E3:E20" si="1">+D3/((1+$C$1)^A3)</f>
        <v>29.702970297029704</v>
      </c>
      <c r="F3" s="6"/>
    </row>
    <row r="4" spans="1:6" ht="18.75" x14ac:dyDescent="0.3">
      <c r="A4" s="1">
        <v>2</v>
      </c>
      <c r="B4" s="1">
        <v>0</v>
      </c>
      <c r="C4" s="4">
        <f t="shared" si="0"/>
        <v>0</v>
      </c>
      <c r="D4" s="1">
        <v>0</v>
      </c>
      <c r="E4" s="4">
        <f t="shared" si="1"/>
        <v>0</v>
      </c>
      <c r="F4" s="6"/>
    </row>
    <row r="5" spans="1:6" ht="18.75" x14ac:dyDescent="0.3">
      <c r="A5" s="1">
        <v>3</v>
      </c>
      <c r="B5" s="1">
        <v>0</v>
      </c>
      <c r="C5" s="4">
        <f t="shared" si="0"/>
        <v>0</v>
      </c>
      <c r="D5" s="1">
        <v>0</v>
      </c>
      <c r="E5" s="4">
        <f t="shared" si="1"/>
        <v>0</v>
      </c>
      <c r="F5" s="6"/>
    </row>
    <row r="6" spans="1:6" ht="18.75" x14ac:dyDescent="0.3">
      <c r="A6" s="1">
        <v>4</v>
      </c>
      <c r="B6" s="1">
        <v>80</v>
      </c>
      <c r="C6" s="4">
        <f t="shared" si="0"/>
        <v>76.878427558625305</v>
      </c>
      <c r="D6" s="1">
        <v>80</v>
      </c>
      <c r="E6" s="4">
        <f t="shared" si="1"/>
        <v>76.878427558625305</v>
      </c>
      <c r="F6" s="6"/>
    </row>
    <row r="7" spans="1:6" ht="18.75" x14ac:dyDescent="0.3">
      <c r="A7" s="1">
        <v>5</v>
      </c>
      <c r="B7" s="1">
        <v>0</v>
      </c>
      <c r="C7" s="4">
        <f t="shared" si="0"/>
        <v>0</v>
      </c>
      <c r="D7" s="1">
        <v>0</v>
      </c>
      <c r="E7" s="4">
        <f t="shared" si="1"/>
        <v>0</v>
      </c>
      <c r="F7" s="6"/>
    </row>
    <row r="8" spans="1:6" x14ac:dyDescent="0.2">
      <c r="A8" s="1">
        <v>6</v>
      </c>
      <c r="B8" s="1">
        <v>0</v>
      </c>
      <c r="C8" s="4">
        <f t="shared" si="0"/>
        <v>0</v>
      </c>
      <c r="D8" s="1">
        <v>0</v>
      </c>
      <c r="E8" s="4">
        <f t="shared" si="1"/>
        <v>0</v>
      </c>
    </row>
    <row r="9" spans="1:6" x14ac:dyDescent="0.2">
      <c r="A9" s="1">
        <v>7</v>
      </c>
      <c r="B9" s="1">
        <v>0</v>
      </c>
      <c r="C9" s="4">
        <f t="shared" si="0"/>
        <v>0</v>
      </c>
      <c r="D9" s="1">
        <v>0</v>
      </c>
      <c r="E9" s="4">
        <f t="shared" si="1"/>
        <v>0</v>
      </c>
    </row>
    <row r="10" spans="1:6" x14ac:dyDescent="0.2">
      <c r="A10" s="1">
        <v>8</v>
      </c>
      <c r="B10" s="1">
        <v>0</v>
      </c>
      <c r="C10" s="4">
        <f t="shared" si="0"/>
        <v>0</v>
      </c>
      <c r="D10" s="1">
        <v>0</v>
      </c>
      <c r="E10" s="4">
        <f t="shared" si="1"/>
        <v>0</v>
      </c>
    </row>
    <row r="11" spans="1:6" x14ac:dyDescent="0.2">
      <c r="A11" s="1">
        <v>9</v>
      </c>
      <c r="B11" s="5">
        <f>18+36+48+40</f>
        <v>142</v>
      </c>
      <c r="C11" s="4">
        <f t="shared" si="0"/>
        <v>129.83625504206765</v>
      </c>
      <c r="D11" s="5">
        <v>76</v>
      </c>
      <c r="E11" s="4">
        <f t="shared" si="1"/>
        <v>69.489826642233382</v>
      </c>
    </row>
    <row r="12" spans="1:6" x14ac:dyDescent="0.2">
      <c r="A12" s="1">
        <v>10</v>
      </c>
      <c r="B12" s="1">
        <v>0</v>
      </c>
      <c r="C12" s="4">
        <f t="shared" si="0"/>
        <v>0</v>
      </c>
      <c r="D12" s="1">
        <v>18</v>
      </c>
      <c r="E12" s="4">
        <f t="shared" si="1"/>
        <v>16.295165184473696</v>
      </c>
    </row>
    <row r="13" spans="1:6" x14ac:dyDescent="0.2">
      <c r="A13" s="1">
        <v>11</v>
      </c>
      <c r="B13" s="5">
        <f>72+48+32</f>
        <v>152</v>
      </c>
      <c r="C13" s="4">
        <f t="shared" si="0"/>
        <v>136.2412050627064</v>
      </c>
      <c r="D13" s="5">
        <v>48</v>
      </c>
      <c r="E13" s="4">
        <f t="shared" si="1"/>
        <v>43.023538440854651</v>
      </c>
    </row>
    <row r="14" spans="1:6" x14ac:dyDescent="0.2">
      <c r="A14" s="1">
        <v>12</v>
      </c>
      <c r="B14" s="1">
        <v>0</v>
      </c>
      <c r="C14" s="4">
        <f t="shared" si="0"/>
        <v>0</v>
      </c>
      <c r="D14" s="1">
        <v>72</v>
      </c>
      <c r="E14" s="4">
        <f t="shared" si="1"/>
        <v>63.896344219091063</v>
      </c>
    </row>
    <row r="15" spans="1:6" x14ac:dyDescent="0.2">
      <c r="A15" s="1">
        <v>13</v>
      </c>
      <c r="B15" s="1">
        <f>108+24</f>
        <v>132</v>
      </c>
      <c r="C15" s="4">
        <f t="shared" si="0"/>
        <v>115.98346310396067</v>
      </c>
      <c r="D15" s="1">
        <f>108+24+48+32</f>
        <v>212</v>
      </c>
      <c r="E15" s="4">
        <f t="shared" si="1"/>
        <v>186.27647104575502</v>
      </c>
    </row>
    <row r="16" spans="1:6" x14ac:dyDescent="0.2">
      <c r="A16" s="1">
        <v>14</v>
      </c>
      <c r="B16" s="1">
        <v>32</v>
      </c>
      <c r="C16" s="4">
        <f t="shared" si="0"/>
        <v>27.838815026453204</v>
      </c>
      <c r="D16" s="1">
        <v>0</v>
      </c>
      <c r="E16" s="4">
        <f t="shared" si="1"/>
        <v>0</v>
      </c>
    </row>
    <row r="17" spans="1:6" x14ac:dyDescent="0.2">
      <c r="A17" s="1">
        <v>15</v>
      </c>
      <c r="B17" s="1">
        <v>40</v>
      </c>
      <c r="C17" s="4">
        <f t="shared" si="0"/>
        <v>34.453978993135159</v>
      </c>
      <c r="D17" s="1">
        <v>0</v>
      </c>
      <c r="E17" s="4">
        <f t="shared" si="1"/>
        <v>0</v>
      </c>
    </row>
    <row r="18" spans="1:6" x14ac:dyDescent="0.2">
      <c r="A18" s="1">
        <v>16</v>
      </c>
      <c r="B18" s="1">
        <v>372</v>
      </c>
      <c r="C18" s="4">
        <f t="shared" si="0"/>
        <v>317.24950954074944</v>
      </c>
      <c r="D18" s="1">
        <f>32+40+300+72</f>
        <v>444</v>
      </c>
      <c r="E18" s="4">
        <f t="shared" si="1"/>
        <v>378.65264041960415</v>
      </c>
    </row>
    <row r="19" spans="1:6" x14ac:dyDescent="0.2">
      <c r="A19" s="1">
        <v>17</v>
      </c>
      <c r="B19" s="1">
        <v>0</v>
      </c>
      <c r="C19" s="4">
        <f t="shared" si="0"/>
        <v>0</v>
      </c>
      <c r="D19" s="1">
        <v>0</v>
      </c>
      <c r="E19" s="4">
        <f t="shared" si="1"/>
        <v>0</v>
      </c>
    </row>
    <row r="20" spans="1:6" x14ac:dyDescent="0.2">
      <c r="A20" s="1">
        <v>18</v>
      </c>
      <c r="B20" s="1">
        <v>200</v>
      </c>
      <c r="C20" s="4">
        <f t="shared" si="0"/>
        <v>167.20346283821499</v>
      </c>
      <c r="D20" s="1">
        <v>200</v>
      </c>
      <c r="E20" s="4">
        <f t="shared" si="1"/>
        <v>167.20346283821499</v>
      </c>
    </row>
    <row r="21" spans="1:6" x14ac:dyDescent="0.2">
      <c r="C21" s="4">
        <f>+SUM(C3:C20)</f>
        <v>1035.3880874629426</v>
      </c>
      <c r="E21" s="4">
        <f>+SUM(E3:E20)</f>
        <v>1031.418846645882</v>
      </c>
    </row>
    <row r="24" spans="1:6" x14ac:dyDescent="0.2">
      <c r="B24" s="3">
        <f>+NPV(C1,B3:B20)</f>
        <v>1035.3880874629426</v>
      </c>
      <c r="C24" s="2">
        <f>+IRR(B2:B20)</f>
        <v>7.0975958470844924E-2</v>
      </c>
      <c r="E24" s="3">
        <f>+NPV(C1,D3:D20)</f>
        <v>1031.418846645882</v>
      </c>
      <c r="F24" s="2">
        <f>+IRR(D2:D20)</f>
        <v>6.8562305417414482E-2</v>
      </c>
    </row>
  </sheetData>
  <pageMargins left="0.7" right="0.7" top="0.75" bottom="0.75" header="0.3" footer="0.3"/>
  <headerFooter>
    <oddHeader>&amp;R&amp;"Calibri"&amp;10&amp;K000000 Documento: Personal&amp;1#_x000D_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Gantt</vt:lpstr>
      <vt:lpstr>Cálculo de tiempos</vt:lpstr>
      <vt:lpstr>Cálculo de márgenes</vt:lpstr>
      <vt:lpstr>Gantt Financiero</vt:lpstr>
      <vt:lpstr>Calculo VAN-TIR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BENEVENIA, FLORENCIA</cp:lastModifiedBy>
  <dcterms:created xsi:type="dcterms:W3CDTF">2021-05-23T20:28:19Z</dcterms:created>
  <dcterms:modified xsi:type="dcterms:W3CDTF">2024-06-01T20:09:26Z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2024-06-01T20:06:38Z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de3f6fdd-ad4f-43c4-a7d7-fc965112cfa8</vt:lpwstr>
  </property>
  <property fmtid="{D5CDD505-2E9C-101B-9397-08002B2CF9AE}" pid="8" name="MSIP_Label_228ef38c-4357-49c8-b2ae-c9cdaf411188_ContentBits">
    <vt:lpwstr>1</vt:lpwstr>
  </property>
</Properties>
</file>