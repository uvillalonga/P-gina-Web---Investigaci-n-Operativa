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9a161ea31542415b/4to Año/Invest Op/Unidad 3/Practica/"/>
    </mc:Choice>
  </mc:AlternateContent>
  <xr:revisionPtr revIDLastSave="1533" documentId="13_ncr:9_{0A52868B-169E-43D6-9189-FFB829C881D3}" xr6:coauthVersionLast="47" xr6:coauthVersionMax="47" xr10:uidLastSave="{F62F853B-B3F2-49D7-814D-4FB68909D937}"/>
  <bookViews>
    <workbookView xWindow="-108" yWindow="-108" windowWidth="23256" windowHeight="12456" activeTab="1" xr2:uid="{A26D28A0-2C00-43FB-A534-027B542FF1D9}"/>
  </bookViews>
  <sheets>
    <sheet name="CPM" sheetId="3" r:id="rId1"/>
    <sheet name="CPM (calendario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6" i="2" l="1"/>
  <c r="AK147" i="3"/>
  <c r="AA147" i="3" s="1"/>
  <c r="AA136" i="3" s="1"/>
  <c r="Q136" i="3" s="1"/>
  <c r="AU71" i="3"/>
  <c r="AA82" i="3"/>
  <c r="AA71" i="3" s="1"/>
  <c r="AK71" i="3" s="1"/>
  <c r="AA60" i="3"/>
  <c r="CJ82" i="2"/>
  <c r="CF82" i="2"/>
  <c r="BJ82" i="2"/>
  <c r="BG82" i="2"/>
  <c r="AX82" i="2"/>
  <c r="AN82" i="2"/>
  <c r="AI82" i="2"/>
  <c r="AF82" i="2"/>
  <c r="Z82" i="2"/>
  <c r="J82" i="2"/>
  <c r="R82" i="2"/>
  <c r="F82" i="2"/>
  <c r="C82" i="2"/>
  <c r="AC120" i="3"/>
  <c r="W120" i="3"/>
  <c r="Q120" i="3"/>
  <c r="AC119" i="3"/>
  <c r="W119" i="3"/>
  <c r="Q119" i="3"/>
  <c r="AC118" i="3"/>
  <c r="W118" i="3"/>
  <c r="Q118" i="3"/>
  <c r="AC117" i="3"/>
  <c r="W117" i="3"/>
  <c r="Q117" i="3"/>
  <c r="AC116" i="3"/>
  <c r="W116" i="3"/>
  <c r="Q116" i="3"/>
  <c r="AC115" i="3"/>
  <c r="W115" i="3"/>
  <c r="Q115" i="3"/>
  <c r="AC114" i="3"/>
  <c r="W114" i="3"/>
  <c r="Q114" i="3"/>
  <c r="AC113" i="3"/>
  <c r="W113" i="3"/>
  <c r="Q113" i="3"/>
  <c r="AC112" i="3"/>
  <c r="W112" i="3"/>
  <c r="Q112" i="3"/>
  <c r="AC111" i="3"/>
  <c r="W111" i="3"/>
  <c r="Q111" i="3"/>
  <c r="AC110" i="3"/>
  <c r="W110" i="3"/>
  <c r="Q110" i="3"/>
  <c r="AC109" i="3"/>
  <c r="W109" i="3"/>
  <c r="Q109" i="3"/>
  <c r="AC108" i="3"/>
  <c r="W108" i="3"/>
  <c r="Q108" i="3"/>
  <c r="AC107" i="3"/>
  <c r="W107" i="3"/>
  <c r="Q107" i="3"/>
  <c r="AC106" i="3"/>
  <c r="W106" i="3"/>
  <c r="Q106" i="3"/>
  <c r="AA158" i="3" l="1"/>
  <c r="AU73" i="3"/>
  <c r="AK82" i="3"/>
  <c r="Q147" i="3" l="1"/>
  <c r="Q158" i="3"/>
  <c r="AK73" i="3"/>
  <c r="AA73" i="3" s="1"/>
  <c r="AK84" i="3"/>
  <c r="AA62" i="3" l="1"/>
  <c r="Q62" i="3" s="1"/>
  <c r="AA84" i="3"/>
  <c r="Q73" i="3" l="1"/>
  <c r="Q84" i="3"/>
</calcChain>
</file>

<file path=xl/sharedStrings.xml><?xml version="1.0" encoding="utf-8"?>
<sst xmlns="http://schemas.openxmlformats.org/spreadsheetml/2006/main" count="98" uniqueCount="51">
  <si>
    <t>A</t>
  </si>
  <si>
    <t>B</t>
  </si>
  <si>
    <t>Ft</t>
  </si>
  <si>
    <t>FT</t>
  </si>
  <si>
    <t>Tarea</t>
  </si>
  <si>
    <t>Precedente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</si>
  <si>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</si>
  <si>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</si>
  <si>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</si>
  <si>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</si>
  <si>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</si>
  <si>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</si>
  <si>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</si>
  <si>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</si>
  <si>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</si>
  <si>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</si>
  <si>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E, F, G</t>
  </si>
  <si>
    <t>E, F</t>
  </si>
  <si>
    <t>H, I</t>
  </si>
  <si>
    <t>H, I, J</t>
  </si>
  <si>
    <t>Tabla de Precedencias</t>
  </si>
  <si>
    <t>NODO</t>
  </si>
  <si>
    <t>Fecha Tardia</t>
  </si>
  <si>
    <t>Fecha temprana</t>
  </si>
  <si>
    <t>Matriz de Incidencia</t>
  </si>
  <si>
    <t>Tiempo
de Tarea
(semanas)</t>
  </si>
  <si>
    <t>FTj</t>
  </si>
  <si>
    <t>Fti</t>
  </si>
  <si>
    <t>Margen Total</t>
  </si>
  <si>
    <t>MT</t>
  </si>
  <si>
    <t>Margen Libre</t>
  </si>
  <si>
    <t>Ftj</t>
  </si>
  <si>
    <t>ML</t>
  </si>
  <si>
    <t>Margen Independiente</t>
  </si>
  <si>
    <t>FTi</t>
  </si>
  <si>
    <t>MI</t>
  </si>
  <si>
    <t>α</t>
  </si>
  <si>
    <t>β</t>
  </si>
  <si>
    <t>γ</t>
  </si>
  <si>
    <t>Identificacion del Camino Critico</t>
  </si>
  <si>
    <t>Calculo de Margenes</t>
  </si>
  <si>
    <t>Costo</t>
  </si>
  <si>
    <t>D, E, F</t>
  </si>
  <si>
    <t>tasa de interes diaria =</t>
  </si>
  <si>
    <t>Dada la Tabla de Precedencias:
1 - Dibujar la red del proyecto
2 - Calcular fechas de inicio Temprano y Tardio
3 - Calcular los Margenes
4 - Identificar el Camino Critico
5 - Construir el Diagrama Calendario para las Fechas Tempranas, teniendo en cuenta:
  &gt; se paga repartido, en formas iguales, al inicio y al fin de la actividad
  &gt; la tasa de interes es del 0,5% diaria</t>
  </si>
  <si>
    <t>Tiempo
(dias)</t>
  </si>
  <si>
    <t>B: 14</t>
  </si>
  <si>
    <t>E: 17</t>
  </si>
  <si>
    <t>I: 27</t>
  </si>
  <si>
    <t>K: 26</t>
  </si>
  <si>
    <t>VAN Ft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</si>
</sst>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sz val="11"/>
      <color theme="6" tint="0.3999755851924192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dashed">
        <color auto="1"/>
      </right>
      <top/>
      <bottom/>
      <diagonal/>
    </border>
    <border>
      <left style="medium">
        <color indexed="64"/>
      </left>
      <right style="dashed">
        <color indexed="64"/>
      </right>
      <top/>
      <bottom/>
      <diagonal/>
    </border>
    <border>
      <left/>
      <right style="dashed">
        <color indexed="64"/>
      </right>
      <top/>
      <bottom style="thin">
        <color indexed="64"/>
      </bottom>
      <diagonal/>
    </border>
    <border>
      <left style="dashed">
        <color indexed="64"/>
      </left>
      <right/>
      <top/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thin">
        <color indexed="64"/>
      </right>
      <top style="medium">
        <color rgb="FFFF0000"/>
      </top>
      <bottom/>
      <diagonal/>
    </border>
    <border>
      <left style="dashed">
        <color indexed="64"/>
      </left>
      <right style="medium">
        <color indexed="64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104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4" fillId="0" borderId="0" xfId="0" applyFont="1" applyAlignment="1">
      <alignment vertical="center"/>
    </xf>
    <xf numFmtId="0" fontId="0" fillId="0" borderId="21" xfId="0" applyBorder="1" applyAlignment="1">
      <alignment horizontal="right" vertical="center"/>
    </xf>
    <xf numFmtId="0" fontId="0" fillId="0" borderId="20" xfId="0" applyBorder="1" applyAlignment="1">
      <alignment horizontal="right" vertical="center"/>
    </xf>
    <xf numFmtId="0" fontId="0" fillId="0" borderId="22" xfId="0" applyBorder="1" applyAlignment="1">
      <alignment horizontal="right" vertical="center"/>
    </xf>
    <xf numFmtId="0" fontId="0" fillId="0" borderId="16" xfId="0" applyBorder="1" applyAlignment="1">
      <alignment horizontal="right" vertical="center"/>
    </xf>
    <xf numFmtId="0" fontId="0" fillId="0" borderId="9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15" xfId="0" applyBorder="1"/>
    <xf numFmtId="0" fontId="0" fillId="0" borderId="9" xfId="0" applyBorder="1" applyAlignment="1">
      <alignment horizontal="right" vertical="center"/>
    </xf>
    <xf numFmtId="0" fontId="0" fillId="0" borderId="26" xfId="0" applyBorder="1"/>
    <xf numFmtId="0" fontId="0" fillId="0" borderId="16" xfId="0" applyBorder="1"/>
    <xf numFmtId="0" fontId="0" fillId="0" borderId="17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11" fillId="0" borderId="0" xfId="0" applyFont="1" applyAlignment="1">
      <alignment horizontal="right" vertical="center"/>
    </xf>
    <xf numFmtId="0" fontId="0" fillId="0" borderId="10" xfId="0" applyBorder="1"/>
    <xf numFmtId="0" fontId="12" fillId="0" borderId="10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3" fillId="0" borderId="0" xfId="0" applyFont="1" applyAlignment="1">
      <alignment horizontal="right" vertical="center"/>
    </xf>
    <xf numFmtId="0" fontId="0" fillId="0" borderId="0" xfId="0"/>
    <xf numFmtId="0" fontId="0" fillId="0" borderId="16" xfId="0" applyBorder="1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8" fillId="4" borderId="1" xfId="0" applyFont="1" applyFill="1" applyBorder="1" applyAlignment="1">
      <alignment horizontal="center" vertical="center" textRotation="255"/>
    </xf>
    <xf numFmtId="0" fontId="6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1" fontId="6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textRotation="255"/>
    </xf>
    <xf numFmtId="0" fontId="8" fillId="3" borderId="1" xfId="0" applyFont="1" applyFill="1" applyBorder="1" applyAlignment="1">
      <alignment horizontal="center" vertical="center" wrapText="1"/>
    </xf>
    <xf numFmtId="0" fontId="2" fillId="5" borderId="20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textRotation="255"/>
    </xf>
    <xf numFmtId="0" fontId="5" fillId="0" borderId="1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" fontId="0" fillId="6" borderId="1" xfId="0" applyNumberForma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18" xfId="0" applyFont="1" applyFill="1" applyBorder="1" applyAlignment="1">
      <alignment horizontal="center" vertical="center"/>
    </xf>
    <xf numFmtId="0" fontId="6" fillId="5" borderId="19" xfId="0" applyFont="1" applyFill="1" applyBorder="1" applyAlignment="1">
      <alignment horizontal="center" vertical="center"/>
    </xf>
    <xf numFmtId="0" fontId="6" fillId="5" borderId="16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5" borderId="17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15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 wrapText="1"/>
    </xf>
    <xf numFmtId="0" fontId="1" fillId="5" borderId="18" xfId="0" applyFont="1" applyFill="1" applyBorder="1" applyAlignment="1">
      <alignment horizontal="center" vertical="center" wrapText="1"/>
    </xf>
    <xf numFmtId="0" fontId="1" fillId="5" borderId="16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15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13" fillId="0" borderId="0" xfId="0" applyFont="1" applyAlignment="1">
      <alignment horizontal="right" vertical="center"/>
    </xf>
    <xf numFmtId="0" fontId="12" fillId="0" borderId="0" xfId="0" applyFont="1" applyAlignment="1">
      <alignment horizontal="left" vertical="center"/>
    </xf>
    <xf numFmtId="0" fontId="0" fillId="7" borderId="31" xfId="0" applyFill="1" applyBorder="1" applyAlignment="1">
      <alignment horizontal="center" vertical="center"/>
    </xf>
    <xf numFmtId="0" fontId="0" fillId="7" borderId="32" xfId="0" applyFill="1" applyBorder="1" applyAlignment="1">
      <alignment horizontal="center" vertical="center"/>
    </xf>
    <xf numFmtId="164" fontId="0" fillId="7" borderId="31" xfId="0" applyNumberFormat="1" applyFill="1" applyBorder="1" applyAlignment="1">
      <alignment horizontal="center" vertical="center"/>
    </xf>
    <xf numFmtId="164" fontId="0" fillId="7" borderId="32" xfId="0" applyNumberFormat="1" applyFill="1" applyBorder="1" applyAlignment="1">
      <alignment horizontal="center" vertical="center"/>
    </xf>
    <xf numFmtId="0" fontId="0" fillId="7" borderId="31" xfId="0" applyFill="1" applyBorder="1" applyAlignment="1">
      <alignment vertical="center"/>
    </xf>
    <xf numFmtId="0" fontId="0" fillId="7" borderId="32" xfId="0" applyFill="1" applyBorder="1" applyAlignment="1">
      <alignment vertical="center"/>
    </xf>
    <xf numFmtId="0" fontId="12" fillId="0" borderId="0" xfId="0" applyFont="1" applyAlignment="1">
      <alignment horizontal="right" vertical="center"/>
    </xf>
    <xf numFmtId="0" fontId="12" fillId="0" borderId="10" xfId="0" applyFont="1" applyBorder="1" applyAlignment="1">
      <alignment horizontal="right" vertical="center"/>
    </xf>
    <xf numFmtId="0" fontId="13" fillId="0" borderId="0" xfId="0" applyFont="1" applyAlignment="1">
      <alignment horizontal="center" vertical="center"/>
    </xf>
    <xf numFmtId="0" fontId="12" fillId="0" borderId="23" xfId="0" applyFont="1" applyBorder="1" applyAlignment="1">
      <alignment horizontal="left" vertical="center"/>
    </xf>
    <xf numFmtId="0" fontId="0" fillId="0" borderId="18" xfId="0" applyBorder="1"/>
    <xf numFmtId="0" fontId="7" fillId="7" borderId="0" xfId="0" applyFont="1" applyFill="1" applyAlignment="1">
      <alignment horizontal="left" vertical="center"/>
    </xf>
    <xf numFmtId="0" fontId="0" fillId="7" borderId="31" xfId="0" applyFill="1" applyBorder="1" applyAlignment="1">
      <alignment horizontal="right" vertical="center"/>
    </xf>
    <xf numFmtId="0" fontId="0" fillId="7" borderId="33" xfId="0" applyFill="1" applyBorder="1" applyAlignment="1">
      <alignment horizontal="right" vertical="center"/>
    </xf>
    <xf numFmtId="165" fontId="0" fillId="7" borderId="33" xfId="1" applyNumberFormat="1" applyFont="1" applyFill="1" applyBorder="1" applyAlignment="1">
      <alignment horizontal="left" vertical="center"/>
    </xf>
    <xf numFmtId="165" fontId="0" fillId="7" borderId="32" xfId="1" applyNumberFormat="1" applyFont="1" applyFill="1" applyBorder="1" applyAlignment="1">
      <alignment horizontal="left" vertical="center"/>
    </xf>
    <xf numFmtId="0" fontId="5" fillId="7" borderId="12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0" fontId="5" fillId="7" borderId="8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164" fontId="5" fillId="7" borderId="6" xfId="0" applyNumberFormat="1" applyFont="1" applyFill="1" applyBorder="1" applyAlignment="1">
      <alignment horizontal="left" vertical="center"/>
    </xf>
    <xf numFmtId="164" fontId="5" fillId="7" borderId="11" xfId="0" applyNumberFormat="1" applyFont="1" applyFill="1" applyBorder="1" applyAlignment="1">
      <alignment horizontal="left" vertical="center"/>
    </xf>
    <xf numFmtId="164" fontId="5" fillId="7" borderId="7" xfId="0" applyNumberFormat="1" applyFont="1" applyFill="1" applyBorder="1" applyAlignment="1">
      <alignment horizontal="left" vertical="center"/>
    </xf>
    <xf numFmtId="164" fontId="5" fillId="7" borderId="13" xfId="0" applyNumberFormat="1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142499</xdr:colOff>
      <xdr:row>35</xdr:row>
      <xdr:rowOff>9525</xdr:rowOff>
    </xdr:from>
    <xdr:to>
      <xdr:col>10</xdr:col>
      <xdr:colOff>265727</xdr:colOff>
      <xdr:row>39</xdr:row>
      <xdr:rowOff>20693</xdr:rowOff>
    </xdr:to>
    <xdr:sp macro="" textlink="">
      <xdr:nvSpPr>
        <xdr:cNvPr id="98" name="Oval 97">
          <a:extLst>
            <a:ext uri="{FF2B5EF4-FFF2-40B4-BE49-F238E27FC236}">
              <a16:creationId xmlns:a16="http://schemas.microsoft.com/office/drawing/2014/main" id="{47689FF6-52D6-46A7-A484-5B465B0313A7}"/>
            </a:ext>
          </a:extLst>
        </xdr:cNvPr>
        <xdr:cNvSpPr/>
      </xdr:nvSpPr>
      <xdr:spPr>
        <a:xfrm>
          <a:off x="2599949" y="6677025"/>
          <a:ext cx="713778" cy="773168"/>
        </a:xfrm>
        <a:prstGeom prst="ellipse">
          <a:avLst/>
        </a:prstGeom>
        <a:solidFill>
          <a:schemeClr val="tx2">
            <a:lumMod val="20000"/>
            <a:lumOff val="80000"/>
          </a:schemeClr>
        </a:solidFill>
        <a:ln w="19050">
          <a:solidFill>
            <a:schemeClr val="tx1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AR" sz="2000">
              <a:solidFill>
                <a:sysClr val="windowText" lastClr="000000"/>
              </a:solidFill>
            </a:rPr>
            <a:t>1</a:t>
          </a:r>
          <a:endParaRPr lang="es-AR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159063</xdr:colOff>
      <xdr:row>28</xdr:row>
      <xdr:rowOff>152755</xdr:rowOff>
    </xdr:from>
    <xdr:to>
      <xdr:col>15</xdr:col>
      <xdr:colOff>81615</xdr:colOff>
      <xdr:row>35</xdr:row>
      <xdr:rowOff>127395</xdr:rowOff>
    </xdr:to>
    <xdr:cxnSp macro="">
      <xdr:nvCxnSpPr>
        <xdr:cNvPr id="99" name="Straight Arrow Connector 41">
          <a:extLst>
            <a:ext uri="{FF2B5EF4-FFF2-40B4-BE49-F238E27FC236}">
              <a16:creationId xmlns:a16="http://schemas.microsoft.com/office/drawing/2014/main" id="{A38AD689-4344-48BB-AEDF-92863618B9C7}"/>
            </a:ext>
          </a:extLst>
        </xdr:cNvPr>
        <xdr:cNvCxnSpPr>
          <a:cxnSpLocks noChangeShapeType="1"/>
          <a:stCxn id="98" idx="7"/>
          <a:endCxn id="100" idx="2"/>
        </xdr:cNvCxnSpPr>
      </xdr:nvCxnSpPr>
      <xdr:spPr bwMode="auto">
        <a:xfrm flipV="1">
          <a:off x="3207063" y="5486755"/>
          <a:ext cx="1398927" cy="1308140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>
          <a:outerShdw blurRad="40000" dist="20000" dir="5400000" rotWithShape="0">
            <a:srgbClr val="808080">
              <a:alpha val="37999"/>
            </a:srgbClr>
          </a:outer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15</xdr:col>
      <xdr:colOff>78440</xdr:colOff>
      <xdr:row>26</xdr:row>
      <xdr:rowOff>147171</xdr:rowOff>
    </xdr:from>
    <xdr:to>
      <xdr:col>17</xdr:col>
      <xdr:colOff>198492</xdr:colOff>
      <xdr:row>30</xdr:row>
      <xdr:rowOff>151989</xdr:rowOff>
    </xdr:to>
    <xdr:sp macro="" textlink="">
      <xdr:nvSpPr>
        <xdr:cNvPr id="100" name="Oval 99">
          <a:extLst>
            <a:ext uri="{FF2B5EF4-FFF2-40B4-BE49-F238E27FC236}">
              <a16:creationId xmlns:a16="http://schemas.microsoft.com/office/drawing/2014/main" id="{114521D8-8207-4C36-A34E-719B60E8916A}"/>
            </a:ext>
          </a:extLst>
        </xdr:cNvPr>
        <xdr:cNvSpPr/>
      </xdr:nvSpPr>
      <xdr:spPr>
        <a:xfrm>
          <a:off x="4602815" y="5100171"/>
          <a:ext cx="710602" cy="766818"/>
        </a:xfrm>
        <a:prstGeom prst="ellipse">
          <a:avLst/>
        </a:prstGeom>
        <a:solidFill>
          <a:schemeClr val="accent3">
            <a:lumMod val="40000"/>
            <a:lumOff val="60000"/>
          </a:schemeClr>
        </a:solidFill>
        <a:ln w="19050">
          <a:solidFill>
            <a:schemeClr val="tx1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AR" sz="2000">
              <a:solidFill>
                <a:sysClr val="windowText" lastClr="000000"/>
              </a:solidFill>
            </a:rPr>
            <a:t>2</a:t>
          </a:r>
          <a:endParaRPr lang="es-AR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30440</xdr:colOff>
      <xdr:row>35</xdr:row>
      <xdr:rowOff>105522</xdr:rowOff>
    </xdr:from>
    <xdr:to>
      <xdr:col>17</xdr:col>
      <xdr:colOff>155161</xdr:colOff>
      <xdr:row>39</xdr:row>
      <xdr:rowOff>100815</xdr:rowOff>
    </xdr:to>
    <xdr:sp macro="" textlink="">
      <xdr:nvSpPr>
        <xdr:cNvPr id="101" name="Oval 100">
          <a:extLst>
            <a:ext uri="{FF2B5EF4-FFF2-40B4-BE49-F238E27FC236}">
              <a16:creationId xmlns:a16="http://schemas.microsoft.com/office/drawing/2014/main" id="{1CD58060-05A2-4F16-811C-E685DA203475}"/>
            </a:ext>
          </a:extLst>
        </xdr:cNvPr>
        <xdr:cNvSpPr/>
      </xdr:nvSpPr>
      <xdr:spPr>
        <a:xfrm>
          <a:off x="4554815" y="6773022"/>
          <a:ext cx="715271" cy="757293"/>
        </a:xfrm>
        <a:prstGeom prst="ellipse">
          <a:avLst/>
        </a:prstGeom>
        <a:solidFill>
          <a:schemeClr val="accent3">
            <a:lumMod val="40000"/>
            <a:lumOff val="60000"/>
          </a:schemeClr>
        </a:solidFill>
        <a:ln w="19050">
          <a:solidFill>
            <a:schemeClr val="tx1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es-AR" sz="2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>
    <xdr:from>
      <xdr:col>15</xdr:col>
      <xdr:colOff>59203</xdr:colOff>
      <xdr:row>43</xdr:row>
      <xdr:rowOff>164727</xdr:rowOff>
    </xdr:from>
    <xdr:to>
      <xdr:col>17</xdr:col>
      <xdr:colOff>180749</xdr:colOff>
      <xdr:row>47</xdr:row>
      <xdr:rowOff>169545</xdr:rowOff>
    </xdr:to>
    <xdr:sp macro="" textlink="">
      <xdr:nvSpPr>
        <xdr:cNvPr id="102" name="Oval 101">
          <a:extLst>
            <a:ext uri="{FF2B5EF4-FFF2-40B4-BE49-F238E27FC236}">
              <a16:creationId xmlns:a16="http://schemas.microsoft.com/office/drawing/2014/main" id="{B34DE2DC-4CB6-4F0D-A1A1-EE58E5AE5821}"/>
            </a:ext>
          </a:extLst>
        </xdr:cNvPr>
        <xdr:cNvSpPr/>
      </xdr:nvSpPr>
      <xdr:spPr>
        <a:xfrm>
          <a:off x="4583578" y="8356227"/>
          <a:ext cx="712096" cy="766818"/>
        </a:xfrm>
        <a:prstGeom prst="ellipse">
          <a:avLst/>
        </a:prstGeom>
        <a:solidFill>
          <a:schemeClr val="accent3">
            <a:lumMod val="40000"/>
            <a:lumOff val="60000"/>
          </a:schemeClr>
        </a:solidFill>
        <a:ln w="19050">
          <a:solidFill>
            <a:schemeClr val="tx1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es-AR" sz="2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>
    <xdr:from>
      <xdr:col>10</xdr:col>
      <xdr:colOff>265727</xdr:colOff>
      <xdr:row>37</xdr:row>
      <xdr:rowOff>18284</xdr:rowOff>
    </xdr:from>
    <xdr:to>
      <xdr:col>15</xdr:col>
      <xdr:colOff>30440</xdr:colOff>
      <xdr:row>37</xdr:row>
      <xdr:rowOff>98406</xdr:rowOff>
    </xdr:to>
    <xdr:cxnSp macro="">
      <xdr:nvCxnSpPr>
        <xdr:cNvPr id="103" name="Straight Arrow Connector 41">
          <a:extLst>
            <a:ext uri="{FF2B5EF4-FFF2-40B4-BE49-F238E27FC236}">
              <a16:creationId xmlns:a16="http://schemas.microsoft.com/office/drawing/2014/main" id="{81BA2C7C-12A0-4BA6-B0DF-3E44DC8C47AD}"/>
            </a:ext>
          </a:extLst>
        </xdr:cNvPr>
        <xdr:cNvCxnSpPr>
          <a:cxnSpLocks noChangeShapeType="1"/>
          <a:stCxn id="98" idx="6"/>
          <a:endCxn id="101" idx="2"/>
        </xdr:cNvCxnSpPr>
      </xdr:nvCxnSpPr>
      <xdr:spPr bwMode="auto">
        <a:xfrm>
          <a:off x="3313727" y="7066784"/>
          <a:ext cx="1241088" cy="80122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>
          <a:outerShdw blurRad="40000" dist="20000" dir="5400000" rotWithShape="0">
            <a:srgbClr val="808080">
              <a:alpha val="37999"/>
            </a:srgbClr>
          </a:outer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162238</xdr:colOff>
      <xdr:row>38</xdr:row>
      <xdr:rowOff>104529</xdr:rowOff>
    </xdr:from>
    <xdr:to>
      <xdr:col>15</xdr:col>
      <xdr:colOff>59203</xdr:colOff>
      <xdr:row>45</xdr:row>
      <xdr:rowOff>171898</xdr:rowOff>
    </xdr:to>
    <xdr:cxnSp macro="">
      <xdr:nvCxnSpPr>
        <xdr:cNvPr id="104" name="Straight Arrow Connector 41">
          <a:extLst>
            <a:ext uri="{FF2B5EF4-FFF2-40B4-BE49-F238E27FC236}">
              <a16:creationId xmlns:a16="http://schemas.microsoft.com/office/drawing/2014/main" id="{5A499B62-06C1-416B-A668-07026997BCF4}"/>
            </a:ext>
          </a:extLst>
        </xdr:cNvPr>
        <xdr:cNvCxnSpPr>
          <a:cxnSpLocks noChangeShapeType="1"/>
          <a:stCxn id="98" idx="5"/>
          <a:endCxn id="102" idx="2"/>
        </xdr:cNvCxnSpPr>
      </xdr:nvCxnSpPr>
      <xdr:spPr bwMode="auto">
        <a:xfrm>
          <a:off x="3210238" y="7343529"/>
          <a:ext cx="1373340" cy="1400869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>
          <a:outerShdw blurRad="40000" dist="20000" dir="5400000" rotWithShape="0">
            <a:srgbClr val="808080">
              <a:alpha val="37999"/>
            </a:srgbClr>
          </a:outer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84310</xdr:colOff>
      <xdr:row>26</xdr:row>
      <xdr:rowOff>135964</xdr:rowOff>
    </xdr:from>
    <xdr:to>
      <xdr:col>23</xdr:col>
      <xdr:colOff>198013</xdr:colOff>
      <xdr:row>30</xdr:row>
      <xdr:rowOff>134432</xdr:rowOff>
    </xdr:to>
    <xdr:sp macro="" textlink="">
      <xdr:nvSpPr>
        <xdr:cNvPr id="105" name="Oval 104">
          <a:extLst>
            <a:ext uri="{FF2B5EF4-FFF2-40B4-BE49-F238E27FC236}">
              <a16:creationId xmlns:a16="http://schemas.microsoft.com/office/drawing/2014/main" id="{23EAF46D-22AF-4C2A-87AC-CA60FC075ABF}"/>
            </a:ext>
          </a:extLst>
        </xdr:cNvPr>
        <xdr:cNvSpPr/>
      </xdr:nvSpPr>
      <xdr:spPr>
        <a:xfrm>
          <a:off x="6661096" y="4980107"/>
          <a:ext cx="730560" cy="724182"/>
        </a:xfrm>
        <a:prstGeom prst="ellipse">
          <a:avLst/>
        </a:prstGeom>
        <a:solidFill>
          <a:schemeClr val="accent3">
            <a:lumMod val="40000"/>
            <a:lumOff val="60000"/>
          </a:schemeClr>
        </a:solidFill>
        <a:ln w="19050">
          <a:solidFill>
            <a:schemeClr val="tx1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es-AR" sz="2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5</a:t>
          </a:r>
        </a:p>
      </xdr:txBody>
    </xdr:sp>
    <xdr:clientData/>
  </xdr:twoCellAnchor>
  <xdr:twoCellAnchor>
    <xdr:from>
      <xdr:col>21</xdr:col>
      <xdr:colOff>132787</xdr:colOff>
      <xdr:row>43</xdr:row>
      <xdr:rowOff>162059</xdr:rowOff>
    </xdr:from>
    <xdr:to>
      <xdr:col>23</xdr:col>
      <xdr:colOff>259190</xdr:colOff>
      <xdr:row>47</xdr:row>
      <xdr:rowOff>170052</xdr:rowOff>
    </xdr:to>
    <xdr:sp macro="" textlink="">
      <xdr:nvSpPr>
        <xdr:cNvPr id="106" name="Oval 105">
          <a:extLst>
            <a:ext uri="{FF2B5EF4-FFF2-40B4-BE49-F238E27FC236}">
              <a16:creationId xmlns:a16="http://schemas.microsoft.com/office/drawing/2014/main" id="{761A91E2-4956-49E1-84D3-FDE7C3A75ED5}"/>
            </a:ext>
          </a:extLst>
        </xdr:cNvPr>
        <xdr:cNvSpPr/>
      </xdr:nvSpPr>
      <xdr:spPr>
        <a:xfrm>
          <a:off x="6709573" y="8090488"/>
          <a:ext cx="743260" cy="733707"/>
        </a:xfrm>
        <a:prstGeom prst="ellipse">
          <a:avLst/>
        </a:prstGeom>
        <a:solidFill>
          <a:schemeClr val="accent3">
            <a:lumMod val="40000"/>
            <a:lumOff val="60000"/>
          </a:schemeClr>
        </a:solidFill>
        <a:ln w="19050">
          <a:solidFill>
            <a:schemeClr val="tx1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es-AR" sz="2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7</a:t>
          </a:r>
        </a:p>
      </xdr:txBody>
    </xdr:sp>
    <xdr:clientData/>
  </xdr:twoCellAnchor>
  <xdr:twoCellAnchor>
    <xdr:from>
      <xdr:col>21</xdr:col>
      <xdr:colOff>96953</xdr:colOff>
      <xdr:row>35</xdr:row>
      <xdr:rowOff>13046</xdr:rowOff>
    </xdr:from>
    <xdr:to>
      <xdr:col>23</xdr:col>
      <xdr:colOff>245581</xdr:colOff>
      <xdr:row>39</xdr:row>
      <xdr:rowOff>11514</xdr:rowOff>
    </xdr:to>
    <xdr:sp macro="" textlink="">
      <xdr:nvSpPr>
        <xdr:cNvPr id="107" name="Oval 106">
          <a:extLst>
            <a:ext uri="{FF2B5EF4-FFF2-40B4-BE49-F238E27FC236}">
              <a16:creationId xmlns:a16="http://schemas.microsoft.com/office/drawing/2014/main" id="{880200C8-6E2B-4552-8FF1-26917599A93C}"/>
            </a:ext>
          </a:extLst>
        </xdr:cNvPr>
        <xdr:cNvSpPr/>
      </xdr:nvSpPr>
      <xdr:spPr>
        <a:xfrm>
          <a:off x="6673739" y="6490046"/>
          <a:ext cx="765485" cy="724182"/>
        </a:xfrm>
        <a:prstGeom prst="ellipse">
          <a:avLst/>
        </a:prstGeom>
        <a:solidFill>
          <a:schemeClr val="accent3">
            <a:lumMod val="40000"/>
            <a:lumOff val="60000"/>
          </a:schemeClr>
        </a:solidFill>
        <a:ln w="19050">
          <a:solidFill>
            <a:schemeClr val="tx1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es-AR" sz="2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6</a:t>
          </a:r>
        </a:p>
      </xdr:txBody>
    </xdr:sp>
    <xdr:clientData/>
  </xdr:twoCellAnchor>
  <xdr:twoCellAnchor>
    <xdr:from>
      <xdr:col>17</xdr:col>
      <xdr:colOff>46559</xdr:colOff>
      <xdr:row>38</xdr:row>
      <xdr:rowOff>176654</xdr:rowOff>
    </xdr:from>
    <xdr:to>
      <xdr:col>21</xdr:col>
      <xdr:colOff>241635</xdr:colOff>
      <xdr:row>44</xdr:row>
      <xdr:rowOff>88080</xdr:rowOff>
    </xdr:to>
    <xdr:cxnSp macro="">
      <xdr:nvCxnSpPr>
        <xdr:cNvPr id="108" name="Straight Arrow Connector 41">
          <a:extLst>
            <a:ext uri="{FF2B5EF4-FFF2-40B4-BE49-F238E27FC236}">
              <a16:creationId xmlns:a16="http://schemas.microsoft.com/office/drawing/2014/main" id="{82E50F46-2387-4599-B69D-104136C07C45}"/>
            </a:ext>
          </a:extLst>
        </xdr:cNvPr>
        <xdr:cNvCxnSpPr>
          <a:cxnSpLocks noChangeShapeType="1"/>
          <a:stCxn id="101" idx="5"/>
          <a:endCxn id="106" idx="1"/>
        </xdr:cNvCxnSpPr>
      </xdr:nvCxnSpPr>
      <xdr:spPr bwMode="auto">
        <a:xfrm>
          <a:off x="5389630" y="7197940"/>
          <a:ext cx="1428791" cy="999997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>
          <a:outerShdw blurRad="40000" dist="20000" dir="5400000" rotWithShape="0">
            <a:srgbClr val="808080">
              <a:alpha val="37999"/>
            </a:srgbClr>
          </a:outer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180749</xdr:colOff>
      <xdr:row>45</xdr:row>
      <xdr:rowOff>166056</xdr:rowOff>
    </xdr:from>
    <xdr:to>
      <xdr:col>21</xdr:col>
      <xdr:colOff>132787</xdr:colOff>
      <xdr:row>45</xdr:row>
      <xdr:rowOff>167136</xdr:rowOff>
    </xdr:to>
    <xdr:cxnSp macro="">
      <xdr:nvCxnSpPr>
        <xdr:cNvPr id="109" name="Straight Arrow Connector 41">
          <a:extLst>
            <a:ext uri="{FF2B5EF4-FFF2-40B4-BE49-F238E27FC236}">
              <a16:creationId xmlns:a16="http://schemas.microsoft.com/office/drawing/2014/main" id="{7E6D937E-D74D-49B4-A7D2-BABBD8C4A452}"/>
            </a:ext>
          </a:extLst>
        </xdr:cNvPr>
        <xdr:cNvCxnSpPr>
          <a:cxnSpLocks noChangeShapeType="1"/>
          <a:stCxn id="102" idx="6"/>
          <a:endCxn id="106" idx="2"/>
        </xdr:cNvCxnSpPr>
      </xdr:nvCxnSpPr>
      <xdr:spPr bwMode="auto">
        <a:xfrm flipV="1">
          <a:off x="5523820" y="8457342"/>
          <a:ext cx="1185753" cy="1080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>
          <a:outerShdw blurRad="40000" dist="20000" dir="5400000" rotWithShape="0">
            <a:srgbClr val="808080">
              <a:alpha val="37999"/>
            </a:srgbClr>
          </a:outer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198492</xdr:colOff>
      <xdr:row>28</xdr:row>
      <xdr:rowOff>135198</xdr:rowOff>
    </xdr:from>
    <xdr:to>
      <xdr:col>21</xdr:col>
      <xdr:colOff>84310</xdr:colOff>
      <xdr:row>28</xdr:row>
      <xdr:rowOff>149580</xdr:rowOff>
    </xdr:to>
    <xdr:cxnSp macro="">
      <xdr:nvCxnSpPr>
        <xdr:cNvPr id="110" name="Straight Arrow Connector 41">
          <a:extLst>
            <a:ext uri="{FF2B5EF4-FFF2-40B4-BE49-F238E27FC236}">
              <a16:creationId xmlns:a16="http://schemas.microsoft.com/office/drawing/2014/main" id="{90A5251A-6663-4BFC-92D8-2C787A6BAC17}"/>
            </a:ext>
          </a:extLst>
        </xdr:cNvPr>
        <xdr:cNvCxnSpPr>
          <a:cxnSpLocks noChangeShapeType="1"/>
          <a:stCxn id="100" idx="6"/>
          <a:endCxn id="105" idx="2"/>
        </xdr:cNvCxnSpPr>
      </xdr:nvCxnSpPr>
      <xdr:spPr bwMode="auto">
        <a:xfrm flipV="1">
          <a:off x="5541563" y="5342198"/>
          <a:ext cx="1119533" cy="14382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>
          <a:outerShdw blurRad="40000" dist="20000" dir="5400000" rotWithShape="0">
            <a:srgbClr val="808080">
              <a:alpha val="37999"/>
            </a:srgbClr>
          </a:outer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22</xdr:col>
      <xdr:colOff>171268</xdr:colOff>
      <xdr:row>39</xdr:row>
      <xdr:rowOff>11514</xdr:rowOff>
    </xdr:from>
    <xdr:to>
      <xdr:col>22</xdr:col>
      <xdr:colOff>195989</xdr:colOff>
      <xdr:row>43</xdr:row>
      <xdr:rowOff>162059</xdr:rowOff>
    </xdr:to>
    <xdr:cxnSp macro="">
      <xdr:nvCxnSpPr>
        <xdr:cNvPr id="112" name="Straight Arrow Connector 41">
          <a:extLst>
            <a:ext uri="{FF2B5EF4-FFF2-40B4-BE49-F238E27FC236}">
              <a16:creationId xmlns:a16="http://schemas.microsoft.com/office/drawing/2014/main" id="{716B71BD-CA13-467A-AD91-B2EF3B7DBAD3}"/>
            </a:ext>
          </a:extLst>
        </xdr:cNvPr>
        <xdr:cNvCxnSpPr>
          <a:cxnSpLocks noChangeShapeType="1"/>
          <a:stCxn id="106" idx="0"/>
          <a:endCxn id="107" idx="4"/>
        </xdr:cNvCxnSpPr>
      </xdr:nvCxnSpPr>
      <xdr:spPr bwMode="auto">
        <a:xfrm flipH="1" flipV="1">
          <a:off x="7056482" y="7214228"/>
          <a:ext cx="24721" cy="876260"/>
        </a:xfrm>
        <a:prstGeom prst="straightConnector1">
          <a:avLst/>
        </a:prstGeom>
        <a:noFill/>
        <a:ln w="15875">
          <a:solidFill>
            <a:srgbClr val="000000"/>
          </a:solidFill>
          <a:prstDash val="sysDash"/>
          <a:round/>
          <a:headEnd/>
          <a:tailEnd type="triangle" w="med" len="med"/>
        </a:ln>
        <a:effectLst>
          <a:outerShdw blurRad="40000" dist="20000" dir="5400000" rotWithShape="0">
            <a:srgbClr val="808080">
              <a:alpha val="37999"/>
            </a:srgbClr>
          </a:outer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27</xdr:col>
      <xdr:colOff>76518</xdr:colOff>
      <xdr:row>34</xdr:row>
      <xdr:rowOff>55682</xdr:rowOff>
    </xdr:from>
    <xdr:to>
      <xdr:col>29</xdr:col>
      <xdr:colOff>235872</xdr:colOff>
      <xdr:row>38</xdr:row>
      <xdr:rowOff>54149</xdr:rowOff>
    </xdr:to>
    <xdr:sp macro="" textlink="">
      <xdr:nvSpPr>
        <xdr:cNvPr id="113" name="Oval 112">
          <a:extLst>
            <a:ext uri="{FF2B5EF4-FFF2-40B4-BE49-F238E27FC236}">
              <a16:creationId xmlns:a16="http://schemas.microsoft.com/office/drawing/2014/main" id="{C107E3D0-C16B-463A-905B-C66E8425948B}"/>
            </a:ext>
          </a:extLst>
        </xdr:cNvPr>
        <xdr:cNvSpPr/>
      </xdr:nvSpPr>
      <xdr:spPr>
        <a:xfrm>
          <a:off x="8503875" y="6351253"/>
          <a:ext cx="776211" cy="724182"/>
        </a:xfrm>
        <a:prstGeom prst="ellipse">
          <a:avLst/>
        </a:prstGeom>
        <a:solidFill>
          <a:schemeClr val="accent3">
            <a:lumMod val="40000"/>
            <a:lumOff val="60000"/>
          </a:schemeClr>
        </a:solidFill>
        <a:ln w="19050">
          <a:solidFill>
            <a:schemeClr val="tx1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es-AR" sz="2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8</a:t>
          </a:r>
        </a:p>
      </xdr:txBody>
    </xdr:sp>
    <xdr:clientData/>
  </xdr:twoCellAnchor>
  <xdr:twoCellAnchor>
    <xdr:from>
      <xdr:col>27</xdr:col>
      <xdr:colOff>77213</xdr:colOff>
      <xdr:row>43</xdr:row>
      <xdr:rowOff>125638</xdr:rowOff>
    </xdr:from>
    <xdr:to>
      <xdr:col>29</xdr:col>
      <xdr:colOff>214635</xdr:colOff>
      <xdr:row>47</xdr:row>
      <xdr:rowOff>124106</xdr:rowOff>
    </xdr:to>
    <xdr:sp macro="" textlink="">
      <xdr:nvSpPr>
        <xdr:cNvPr id="114" name="Oval 113">
          <a:extLst>
            <a:ext uri="{FF2B5EF4-FFF2-40B4-BE49-F238E27FC236}">
              <a16:creationId xmlns:a16="http://schemas.microsoft.com/office/drawing/2014/main" id="{8A10C629-E0AF-4CB9-81E3-160AF5D004F8}"/>
            </a:ext>
          </a:extLst>
        </xdr:cNvPr>
        <xdr:cNvSpPr/>
      </xdr:nvSpPr>
      <xdr:spPr>
        <a:xfrm>
          <a:off x="8504570" y="8054067"/>
          <a:ext cx="754279" cy="724182"/>
        </a:xfrm>
        <a:prstGeom prst="ellipse">
          <a:avLst/>
        </a:prstGeom>
        <a:solidFill>
          <a:schemeClr val="accent3">
            <a:lumMod val="40000"/>
            <a:lumOff val="60000"/>
          </a:schemeClr>
        </a:solidFill>
        <a:ln w="19050">
          <a:solidFill>
            <a:schemeClr val="tx1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es-AR" sz="20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9</a:t>
          </a:r>
        </a:p>
      </xdr:txBody>
    </xdr:sp>
    <xdr:clientData/>
  </xdr:twoCellAnchor>
  <xdr:twoCellAnchor>
    <xdr:from>
      <xdr:col>35</xdr:col>
      <xdr:colOff>52131</xdr:colOff>
      <xdr:row>32</xdr:row>
      <xdr:rowOff>138978</xdr:rowOff>
    </xdr:from>
    <xdr:to>
      <xdr:col>37</xdr:col>
      <xdr:colOff>186377</xdr:colOff>
      <xdr:row>36</xdr:row>
      <xdr:rowOff>134270</xdr:rowOff>
    </xdr:to>
    <xdr:sp macro="" textlink="">
      <xdr:nvSpPr>
        <xdr:cNvPr id="115" name="Oval 114">
          <a:extLst>
            <a:ext uri="{FF2B5EF4-FFF2-40B4-BE49-F238E27FC236}">
              <a16:creationId xmlns:a16="http://schemas.microsoft.com/office/drawing/2014/main" id="{04232592-CE06-4B6E-93DC-304DB11FF74F}"/>
            </a:ext>
          </a:extLst>
        </xdr:cNvPr>
        <xdr:cNvSpPr/>
      </xdr:nvSpPr>
      <xdr:spPr>
        <a:xfrm>
          <a:off x="10946917" y="6071692"/>
          <a:ext cx="751103" cy="721007"/>
        </a:xfrm>
        <a:prstGeom prst="ellipse">
          <a:avLst/>
        </a:prstGeom>
        <a:solidFill>
          <a:schemeClr val="tx2">
            <a:lumMod val="20000"/>
            <a:lumOff val="80000"/>
          </a:schemeClr>
        </a:solidFill>
        <a:ln w="19050">
          <a:solidFill>
            <a:schemeClr val="tx1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AR" sz="2000">
              <a:solidFill>
                <a:sysClr val="windowText" lastClr="000000"/>
              </a:solidFill>
            </a:rPr>
            <a:t>10</a:t>
          </a:r>
          <a:endParaRPr lang="es-AR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23</xdr:col>
      <xdr:colOff>245581</xdr:colOff>
      <xdr:row>36</xdr:row>
      <xdr:rowOff>54915</xdr:rowOff>
    </xdr:from>
    <xdr:to>
      <xdr:col>27</xdr:col>
      <xdr:colOff>76518</xdr:colOff>
      <xdr:row>37</xdr:row>
      <xdr:rowOff>12280</xdr:rowOff>
    </xdr:to>
    <xdr:cxnSp macro="">
      <xdr:nvCxnSpPr>
        <xdr:cNvPr id="116" name="Straight Arrow Connector 41">
          <a:extLst>
            <a:ext uri="{FF2B5EF4-FFF2-40B4-BE49-F238E27FC236}">
              <a16:creationId xmlns:a16="http://schemas.microsoft.com/office/drawing/2014/main" id="{066939DD-BF07-47C5-9B92-14162AA7320E}"/>
            </a:ext>
          </a:extLst>
        </xdr:cNvPr>
        <xdr:cNvCxnSpPr>
          <a:cxnSpLocks noChangeShapeType="1"/>
          <a:stCxn id="107" idx="6"/>
          <a:endCxn id="113" idx="2"/>
        </xdr:cNvCxnSpPr>
      </xdr:nvCxnSpPr>
      <xdr:spPr bwMode="auto">
        <a:xfrm flipV="1">
          <a:off x="7439224" y="6713344"/>
          <a:ext cx="1064651" cy="138793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>
          <a:outerShdw blurRad="40000" dist="20000" dir="5400000" rotWithShape="0">
            <a:srgbClr val="808080">
              <a:alpha val="37999"/>
            </a:srgbClr>
          </a:outer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23</xdr:col>
      <xdr:colOff>259190</xdr:colOff>
      <xdr:row>45</xdr:row>
      <xdr:rowOff>124872</xdr:rowOff>
    </xdr:from>
    <xdr:to>
      <xdr:col>27</xdr:col>
      <xdr:colOff>77213</xdr:colOff>
      <xdr:row>45</xdr:row>
      <xdr:rowOff>166056</xdr:rowOff>
    </xdr:to>
    <xdr:cxnSp macro="">
      <xdr:nvCxnSpPr>
        <xdr:cNvPr id="117" name="Straight Arrow Connector 41">
          <a:extLst>
            <a:ext uri="{FF2B5EF4-FFF2-40B4-BE49-F238E27FC236}">
              <a16:creationId xmlns:a16="http://schemas.microsoft.com/office/drawing/2014/main" id="{FD691778-EFEC-4E28-BC31-FB6BD38304B9}"/>
            </a:ext>
          </a:extLst>
        </xdr:cNvPr>
        <xdr:cNvCxnSpPr>
          <a:cxnSpLocks noChangeShapeType="1"/>
          <a:stCxn id="106" idx="6"/>
          <a:endCxn id="114" idx="2"/>
        </xdr:cNvCxnSpPr>
      </xdr:nvCxnSpPr>
      <xdr:spPr bwMode="auto">
        <a:xfrm flipV="1">
          <a:off x="7452833" y="8416158"/>
          <a:ext cx="1051737" cy="41184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>
          <a:outerShdw blurRad="40000" dist="20000" dir="5400000" rotWithShape="0">
            <a:srgbClr val="808080">
              <a:alpha val="37999"/>
            </a:srgbClr>
          </a:outer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23</xdr:col>
      <xdr:colOff>91025</xdr:colOff>
      <xdr:row>30</xdr:row>
      <xdr:rowOff>28378</xdr:rowOff>
    </xdr:from>
    <xdr:to>
      <xdr:col>27</xdr:col>
      <xdr:colOff>190191</xdr:colOff>
      <xdr:row>34</xdr:row>
      <xdr:rowOff>161736</xdr:rowOff>
    </xdr:to>
    <xdr:cxnSp macro="">
      <xdr:nvCxnSpPr>
        <xdr:cNvPr id="118" name="Straight Arrow Connector 41">
          <a:extLst>
            <a:ext uri="{FF2B5EF4-FFF2-40B4-BE49-F238E27FC236}">
              <a16:creationId xmlns:a16="http://schemas.microsoft.com/office/drawing/2014/main" id="{29BF02CB-E5B3-43A0-931A-AB924D400131}"/>
            </a:ext>
          </a:extLst>
        </xdr:cNvPr>
        <xdr:cNvCxnSpPr>
          <a:cxnSpLocks noChangeShapeType="1"/>
          <a:stCxn id="105" idx="5"/>
          <a:endCxn id="113" idx="1"/>
        </xdr:cNvCxnSpPr>
      </xdr:nvCxnSpPr>
      <xdr:spPr bwMode="auto">
        <a:xfrm>
          <a:off x="7284668" y="5598235"/>
          <a:ext cx="1332880" cy="859072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>
          <a:outerShdw blurRad="40000" dist="20000" dir="5400000" rotWithShape="0">
            <a:srgbClr val="808080">
              <a:alpha val="37999"/>
            </a:srgbClr>
          </a:outer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29</xdr:col>
      <xdr:colOff>235872</xdr:colOff>
      <xdr:row>34</xdr:row>
      <xdr:rowOff>136625</xdr:rowOff>
    </xdr:from>
    <xdr:to>
      <xdr:col>35</xdr:col>
      <xdr:colOff>52131</xdr:colOff>
      <xdr:row>36</xdr:row>
      <xdr:rowOff>54915</xdr:rowOff>
    </xdr:to>
    <xdr:cxnSp macro="">
      <xdr:nvCxnSpPr>
        <xdr:cNvPr id="119" name="Straight Arrow Connector 41">
          <a:extLst>
            <a:ext uri="{FF2B5EF4-FFF2-40B4-BE49-F238E27FC236}">
              <a16:creationId xmlns:a16="http://schemas.microsoft.com/office/drawing/2014/main" id="{CD26764A-898D-4A9E-AED8-FA75DAB2AE1E}"/>
            </a:ext>
          </a:extLst>
        </xdr:cNvPr>
        <xdr:cNvCxnSpPr>
          <a:cxnSpLocks noChangeShapeType="1"/>
          <a:stCxn id="113" idx="6"/>
          <a:endCxn id="115" idx="2"/>
        </xdr:cNvCxnSpPr>
      </xdr:nvCxnSpPr>
      <xdr:spPr bwMode="auto">
        <a:xfrm flipV="1">
          <a:off x="9280086" y="6432196"/>
          <a:ext cx="1666831" cy="281148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>
          <a:outerShdw blurRad="40000" dist="20000" dir="5400000" rotWithShape="0">
            <a:srgbClr val="808080">
              <a:alpha val="37999"/>
            </a:srgbClr>
          </a:outer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23</xdr:col>
      <xdr:colOff>198013</xdr:colOff>
      <xdr:row>28</xdr:row>
      <xdr:rowOff>135198</xdr:rowOff>
    </xdr:from>
    <xdr:to>
      <xdr:col>35</xdr:col>
      <xdr:colOff>162127</xdr:colOff>
      <xdr:row>33</xdr:row>
      <xdr:rowOff>63138</xdr:rowOff>
    </xdr:to>
    <xdr:cxnSp macro="">
      <xdr:nvCxnSpPr>
        <xdr:cNvPr id="120" name="Straight Arrow Connector 41">
          <a:extLst>
            <a:ext uri="{FF2B5EF4-FFF2-40B4-BE49-F238E27FC236}">
              <a16:creationId xmlns:a16="http://schemas.microsoft.com/office/drawing/2014/main" id="{3637AB96-24A6-451C-A21B-EE254E0C2195}"/>
            </a:ext>
          </a:extLst>
        </xdr:cNvPr>
        <xdr:cNvCxnSpPr>
          <a:cxnSpLocks noChangeShapeType="1"/>
          <a:stCxn id="105" idx="6"/>
          <a:endCxn id="115" idx="1"/>
        </xdr:cNvCxnSpPr>
      </xdr:nvCxnSpPr>
      <xdr:spPr bwMode="auto">
        <a:xfrm>
          <a:off x="7391656" y="5342198"/>
          <a:ext cx="3665257" cy="835083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>
          <a:outerShdw blurRad="40000" dist="20000" dir="5400000" rotWithShape="0">
            <a:srgbClr val="808080">
              <a:alpha val="37999"/>
            </a:srgbClr>
          </a:outer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29</xdr:col>
      <xdr:colOff>214635</xdr:colOff>
      <xdr:row>36</xdr:row>
      <xdr:rowOff>28681</xdr:rowOff>
    </xdr:from>
    <xdr:to>
      <xdr:col>35</xdr:col>
      <xdr:colOff>162127</xdr:colOff>
      <xdr:row>45</xdr:row>
      <xdr:rowOff>124872</xdr:rowOff>
    </xdr:to>
    <xdr:cxnSp macro="">
      <xdr:nvCxnSpPr>
        <xdr:cNvPr id="121" name="Straight Arrow Connector 41">
          <a:extLst>
            <a:ext uri="{FF2B5EF4-FFF2-40B4-BE49-F238E27FC236}">
              <a16:creationId xmlns:a16="http://schemas.microsoft.com/office/drawing/2014/main" id="{807DE0D0-8C7A-4A81-A77D-DAD75695D5E6}"/>
            </a:ext>
          </a:extLst>
        </xdr:cNvPr>
        <xdr:cNvCxnSpPr>
          <a:cxnSpLocks noChangeShapeType="1"/>
          <a:stCxn id="114" idx="6"/>
          <a:endCxn id="115" idx="3"/>
        </xdr:cNvCxnSpPr>
      </xdr:nvCxnSpPr>
      <xdr:spPr bwMode="auto">
        <a:xfrm flipV="1">
          <a:off x="9258849" y="6687110"/>
          <a:ext cx="1798064" cy="1729048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>
          <a:outerShdw blurRad="40000" dist="20000" dir="5400000" rotWithShape="0">
            <a:srgbClr val="808080">
              <a:alpha val="37999"/>
            </a:srgbClr>
          </a:outer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11</xdr:col>
      <xdr:colOff>129539</xdr:colOff>
      <xdr:row>30</xdr:row>
      <xdr:rowOff>135326</xdr:rowOff>
    </xdr:from>
    <xdr:ext cx="619978" cy="342786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BD2236E2-37B0-4623-8ADB-70A9399DD2DE}"/>
            </a:ext>
          </a:extLst>
        </xdr:cNvPr>
        <xdr:cNvSpPr txBox="1"/>
      </xdr:nvSpPr>
      <xdr:spPr>
        <a:xfrm rot="19190806">
          <a:off x="3667396" y="5632612"/>
          <a:ext cx="619978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600" b="1"/>
            <a:t>A: 22</a:t>
          </a:r>
        </a:p>
      </xdr:txBody>
    </xdr:sp>
    <xdr:clientData/>
  </xdr:oneCellAnchor>
  <xdr:oneCellAnchor>
    <xdr:from>
      <xdr:col>11</xdr:col>
      <xdr:colOff>263990</xdr:colOff>
      <xdr:row>35</xdr:row>
      <xdr:rowOff>84152</xdr:rowOff>
    </xdr:from>
    <xdr:ext cx="610680" cy="342786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D5CBDCDD-9E95-4EBB-B417-F548C921713E}"/>
            </a:ext>
          </a:extLst>
        </xdr:cNvPr>
        <xdr:cNvSpPr txBox="1"/>
      </xdr:nvSpPr>
      <xdr:spPr>
        <a:xfrm rot="277244">
          <a:off x="3801847" y="6465902"/>
          <a:ext cx="610680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600" b="1"/>
            <a:t>B: 14</a:t>
          </a:r>
        </a:p>
      </xdr:txBody>
    </xdr:sp>
    <xdr:clientData/>
  </xdr:oneCellAnchor>
  <xdr:oneCellAnchor>
    <xdr:from>
      <xdr:col>12</xdr:col>
      <xdr:colOff>170645</xdr:colOff>
      <xdr:row>40</xdr:row>
      <xdr:rowOff>1275</xdr:rowOff>
    </xdr:from>
    <xdr:ext cx="342786" cy="500265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5EF0BC48-74E9-45E4-8DEE-1AB8B7E2470F}"/>
            </a:ext>
          </a:extLst>
        </xdr:cNvPr>
        <xdr:cNvSpPr txBox="1"/>
      </xdr:nvSpPr>
      <xdr:spPr>
        <a:xfrm rot="2737949">
          <a:off x="3942726" y="7346229"/>
          <a:ext cx="50026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600" b="1"/>
            <a:t>C: 2</a:t>
          </a:r>
        </a:p>
      </xdr:txBody>
    </xdr:sp>
    <xdr:clientData/>
  </xdr:oneCellAnchor>
  <xdr:oneCellAnchor>
    <xdr:from>
      <xdr:col>18</xdr:col>
      <xdr:colOff>88684</xdr:colOff>
      <xdr:row>26</xdr:row>
      <xdr:rowOff>168945</xdr:rowOff>
    </xdr:from>
    <xdr:ext cx="520976" cy="342786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0E50BD70-6668-4CB5-B509-0D53DFEFC912}"/>
            </a:ext>
          </a:extLst>
        </xdr:cNvPr>
        <xdr:cNvSpPr txBox="1"/>
      </xdr:nvSpPr>
      <xdr:spPr>
        <a:xfrm>
          <a:off x="5817291" y="4958659"/>
          <a:ext cx="520976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600" b="1"/>
            <a:t>D: 7</a:t>
          </a:r>
        </a:p>
      </xdr:txBody>
    </xdr:sp>
    <xdr:clientData/>
  </xdr:oneCellAnchor>
  <xdr:oneCellAnchor>
    <xdr:from>
      <xdr:col>18</xdr:col>
      <xdr:colOff>132279</xdr:colOff>
      <xdr:row>39</xdr:row>
      <xdr:rowOff>84982</xdr:rowOff>
    </xdr:from>
    <xdr:ext cx="595741" cy="342786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750CEFFB-A63E-496F-BC03-4A21C1543A08}"/>
            </a:ext>
          </a:extLst>
        </xdr:cNvPr>
        <xdr:cNvSpPr txBox="1"/>
      </xdr:nvSpPr>
      <xdr:spPr>
        <a:xfrm rot="2160000">
          <a:off x="5860886" y="7174303"/>
          <a:ext cx="59574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600" b="1"/>
            <a:t>E: 17</a:t>
          </a:r>
        </a:p>
      </xdr:txBody>
    </xdr:sp>
    <xdr:clientData/>
  </xdr:oneCellAnchor>
  <xdr:oneCellAnchor>
    <xdr:from>
      <xdr:col>18</xdr:col>
      <xdr:colOff>64001</xdr:colOff>
      <xdr:row>44</xdr:row>
      <xdr:rowOff>8653</xdr:rowOff>
    </xdr:from>
    <xdr:ext cx="485839" cy="342786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F6DAB29B-5346-4319-9866-84B670FBDC01}"/>
            </a:ext>
          </a:extLst>
        </xdr:cNvPr>
        <xdr:cNvSpPr txBox="1"/>
      </xdr:nvSpPr>
      <xdr:spPr>
        <a:xfrm>
          <a:off x="5792608" y="7982439"/>
          <a:ext cx="485839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600" b="1"/>
            <a:t>F: 4</a:t>
          </a:r>
        </a:p>
      </xdr:txBody>
    </xdr:sp>
    <xdr:clientData/>
  </xdr:oneCellAnchor>
  <xdr:oneCellAnchor>
    <xdr:from>
      <xdr:col>24</xdr:col>
      <xdr:colOff>200641</xdr:colOff>
      <xdr:row>43</xdr:row>
      <xdr:rowOff>158984</xdr:rowOff>
    </xdr:from>
    <xdr:ext cx="459549" cy="342786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FA2345EE-A817-442F-B437-BF26CD5E59B1}"/>
            </a:ext>
          </a:extLst>
        </xdr:cNvPr>
        <xdr:cNvSpPr txBox="1"/>
      </xdr:nvSpPr>
      <xdr:spPr>
        <a:xfrm rot="21420000">
          <a:off x="7807034" y="7955877"/>
          <a:ext cx="459549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600" b="1"/>
            <a:t>J: 5</a:t>
          </a:r>
        </a:p>
      </xdr:txBody>
    </xdr:sp>
    <xdr:clientData/>
  </xdr:oneCellAnchor>
  <xdr:oneCellAnchor>
    <xdr:from>
      <xdr:col>24</xdr:col>
      <xdr:colOff>62060</xdr:colOff>
      <xdr:row>34</xdr:row>
      <xdr:rowOff>145983</xdr:rowOff>
    </xdr:from>
    <xdr:ext cx="550343" cy="342786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064ECD96-012A-4A39-BDC9-E00354B86850}"/>
            </a:ext>
          </a:extLst>
        </xdr:cNvPr>
        <xdr:cNvSpPr txBox="1"/>
      </xdr:nvSpPr>
      <xdr:spPr>
        <a:xfrm rot="21120000">
          <a:off x="7668453" y="6350840"/>
          <a:ext cx="550343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600" b="1"/>
            <a:t>I: 27</a:t>
          </a:r>
        </a:p>
      </xdr:txBody>
    </xdr:sp>
    <xdr:clientData/>
  </xdr:oneCellAnchor>
  <xdr:oneCellAnchor>
    <xdr:from>
      <xdr:col>28</xdr:col>
      <xdr:colOff>159662</xdr:colOff>
      <xdr:row>29</xdr:row>
      <xdr:rowOff>31457</xdr:rowOff>
    </xdr:from>
    <xdr:ext cx="626390" cy="342786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EEF419C7-52DB-435D-B3BA-31336D3D55FB}"/>
            </a:ext>
          </a:extLst>
        </xdr:cNvPr>
        <xdr:cNvSpPr txBox="1"/>
      </xdr:nvSpPr>
      <xdr:spPr>
        <a:xfrm rot="840000">
          <a:off x="9017912" y="5351850"/>
          <a:ext cx="626390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600" b="1"/>
            <a:t>G: 27</a:t>
          </a:r>
        </a:p>
      </xdr:txBody>
    </xdr:sp>
    <xdr:clientData/>
  </xdr:oneCellAnchor>
  <xdr:oneCellAnchor>
    <xdr:from>
      <xdr:col>24</xdr:col>
      <xdr:colOff>294254</xdr:colOff>
      <xdr:row>30</xdr:row>
      <xdr:rowOff>170210</xdr:rowOff>
    </xdr:from>
    <xdr:ext cx="625108" cy="342786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2A7416B4-549F-4264-AA6B-E696F2AA5511}"/>
            </a:ext>
          </a:extLst>
        </xdr:cNvPr>
        <xdr:cNvSpPr txBox="1"/>
      </xdr:nvSpPr>
      <xdr:spPr>
        <a:xfrm rot="1980000">
          <a:off x="7900647" y="5667496"/>
          <a:ext cx="625108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600" b="1"/>
            <a:t>H: 17</a:t>
          </a:r>
        </a:p>
      </xdr:txBody>
    </xdr:sp>
    <xdr:clientData/>
  </xdr:oneCellAnchor>
  <xdr:oneCellAnchor>
    <xdr:from>
      <xdr:col>31</xdr:col>
      <xdr:colOff>52216</xdr:colOff>
      <xdr:row>33</xdr:row>
      <xdr:rowOff>114813</xdr:rowOff>
    </xdr:from>
    <xdr:ext cx="607859" cy="342786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D2C2B63C-CD27-41B3-A266-91B49A7942B8}"/>
            </a:ext>
          </a:extLst>
        </xdr:cNvPr>
        <xdr:cNvSpPr txBox="1"/>
      </xdr:nvSpPr>
      <xdr:spPr>
        <a:xfrm rot="-600000">
          <a:off x="9849359" y="6142777"/>
          <a:ext cx="607859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600" b="1"/>
            <a:t>K: 26</a:t>
          </a:r>
        </a:p>
      </xdr:txBody>
    </xdr:sp>
    <xdr:clientData/>
  </xdr:oneCellAnchor>
  <xdr:twoCellAnchor>
    <xdr:from>
      <xdr:col>28</xdr:col>
      <xdr:colOff>145924</xdr:colOff>
      <xdr:row>38</xdr:row>
      <xdr:rowOff>54149</xdr:rowOff>
    </xdr:from>
    <xdr:to>
      <xdr:col>28</xdr:col>
      <xdr:colOff>156195</xdr:colOff>
      <xdr:row>43</xdr:row>
      <xdr:rowOff>125638</xdr:rowOff>
    </xdr:to>
    <xdr:cxnSp macro="">
      <xdr:nvCxnSpPr>
        <xdr:cNvPr id="133" name="Straight Arrow Connector 41">
          <a:extLst>
            <a:ext uri="{FF2B5EF4-FFF2-40B4-BE49-F238E27FC236}">
              <a16:creationId xmlns:a16="http://schemas.microsoft.com/office/drawing/2014/main" id="{6A6AE821-AB11-410C-AF11-8D20B4A98654}"/>
            </a:ext>
          </a:extLst>
        </xdr:cNvPr>
        <xdr:cNvCxnSpPr>
          <a:cxnSpLocks noChangeShapeType="1"/>
          <a:stCxn id="113" idx="4"/>
          <a:endCxn id="114" idx="0"/>
        </xdr:cNvCxnSpPr>
      </xdr:nvCxnSpPr>
      <xdr:spPr bwMode="auto">
        <a:xfrm flipH="1">
          <a:off x="8881710" y="7075435"/>
          <a:ext cx="10271" cy="978632"/>
        </a:xfrm>
        <a:prstGeom prst="straightConnector1">
          <a:avLst/>
        </a:prstGeom>
        <a:noFill/>
        <a:ln w="15875">
          <a:solidFill>
            <a:srgbClr val="000000"/>
          </a:solidFill>
          <a:prstDash val="sysDash"/>
          <a:round/>
          <a:headEnd/>
          <a:tailEnd type="triangle" w="med" len="med"/>
        </a:ln>
        <a:effectLst>
          <a:outerShdw blurRad="40000" dist="20000" dir="5400000" rotWithShape="0">
            <a:srgbClr val="808080">
              <a:alpha val="37999"/>
            </a:srgbClr>
          </a:outer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30</xdr:col>
      <xdr:colOff>286593</xdr:colOff>
      <xdr:row>39</xdr:row>
      <xdr:rowOff>145984</xdr:rowOff>
    </xdr:from>
    <xdr:ext cx="582404" cy="342786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E7A744C2-5F16-4E31-83FA-BB4366083710}"/>
            </a:ext>
          </a:extLst>
        </xdr:cNvPr>
        <xdr:cNvSpPr txBox="1"/>
      </xdr:nvSpPr>
      <xdr:spPr>
        <a:xfrm rot="18960000">
          <a:off x="9770772" y="7235305"/>
          <a:ext cx="582404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600" b="1"/>
            <a:t>L: 22</a:t>
          </a:r>
        </a:p>
      </xdr:txBody>
    </xdr:sp>
    <xdr:clientData/>
  </xdr:oneCellAnchor>
  <xdr:twoCellAnchor>
    <xdr:from>
      <xdr:col>8</xdr:col>
      <xdr:colOff>30443</xdr:colOff>
      <xdr:row>61</xdr:row>
      <xdr:rowOff>11206</xdr:rowOff>
    </xdr:from>
    <xdr:to>
      <xdr:col>13</xdr:col>
      <xdr:colOff>235323</xdr:colOff>
      <xdr:row>69</xdr:row>
      <xdr:rowOff>160058</xdr:rowOff>
    </xdr:to>
    <xdr:cxnSp macro="">
      <xdr:nvCxnSpPr>
        <xdr:cNvPr id="135" name="Straight Arrow Connector 41">
          <a:extLst>
            <a:ext uri="{FF2B5EF4-FFF2-40B4-BE49-F238E27FC236}">
              <a16:creationId xmlns:a16="http://schemas.microsoft.com/office/drawing/2014/main" id="{D72A130B-552F-4E1B-ADDA-3D74C0F0B0E4}"/>
            </a:ext>
          </a:extLst>
        </xdr:cNvPr>
        <xdr:cNvCxnSpPr>
          <a:cxnSpLocks noChangeShapeType="1"/>
        </xdr:cNvCxnSpPr>
      </xdr:nvCxnSpPr>
      <xdr:spPr bwMode="auto">
        <a:xfrm flipV="1">
          <a:off x="2487893" y="11631706"/>
          <a:ext cx="1681255" cy="1672852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>
          <a:outerShdw blurRad="40000" dist="20000" dir="5400000" rotWithShape="0">
            <a:srgbClr val="808080">
              <a:alpha val="37999"/>
            </a:srgbClr>
          </a:outer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9</xdr:col>
      <xdr:colOff>38583</xdr:colOff>
      <xdr:row>64</xdr:row>
      <xdr:rowOff>63794</xdr:rowOff>
    </xdr:from>
    <xdr:ext cx="619978" cy="342786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5FBD522D-8FFB-4B0A-919A-947CF518C984}"/>
            </a:ext>
          </a:extLst>
        </xdr:cNvPr>
        <xdr:cNvSpPr txBox="1"/>
      </xdr:nvSpPr>
      <xdr:spPr>
        <a:xfrm rot="19047545">
          <a:off x="2950512" y="11575437"/>
          <a:ext cx="619978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600" b="1"/>
            <a:t>A: 22</a:t>
          </a:r>
        </a:p>
      </xdr:txBody>
    </xdr:sp>
    <xdr:clientData/>
  </xdr:oneCellAnchor>
  <xdr:twoCellAnchor>
    <xdr:from>
      <xdr:col>8</xdr:col>
      <xdr:colOff>62054</xdr:colOff>
      <xdr:row>71</xdr:row>
      <xdr:rowOff>168089</xdr:rowOff>
    </xdr:from>
    <xdr:to>
      <xdr:col>13</xdr:col>
      <xdr:colOff>179294</xdr:colOff>
      <xdr:row>72</xdr:row>
      <xdr:rowOff>3145</xdr:rowOff>
    </xdr:to>
    <xdr:cxnSp macro="">
      <xdr:nvCxnSpPr>
        <xdr:cNvPr id="137" name="Straight Arrow Connector 41">
          <a:extLst>
            <a:ext uri="{FF2B5EF4-FFF2-40B4-BE49-F238E27FC236}">
              <a16:creationId xmlns:a16="http://schemas.microsoft.com/office/drawing/2014/main" id="{EF7F8460-BB82-40C7-9E20-91583D19B4AB}"/>
            </a:ext>
          </a:extLst>
        </xdr:cNvPr>
        <xdr:cNvCxnSpPr>
          <a:cxnSpLocks noChangeShapeType="1"/>
        </xdr:cNvCxnSpPr>
      </xdr:nvCxnSpPr>
      <xdr:spPr bwMode="auto">
        <a:xfrm flipV="1">
          <a:off x="2519504" y="13693589"/>
          <a:ext cx="1593615" cy="16031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>
          <a:outerShdw blurRad="40000" dist="20000" dir="5400000" rotWithShape="0">
            <a:srgbClr val="808080">
              <a:alpha val="37999"/>
            </a:srgbClr>
          </a:outer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9</xdr:col>
      <xdr:colOff>136872</xdr:colOff>
      <xdr:row>70</xdr:row>
      <xdr:rowOff>7580</xdr:rowOff>
    </xdr:from>
    <xdr:ext cx="663580" cy="342786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6D296ED6-787F-4E68-B052-21E1FBCEE590}"/>
            </a:ext>
          </a:extLst>
        </xdr:cNvPr>
        <xdr:cNvSpPr txBox="1"/>
      </xdr:nvSpPr>
      <xdr:spPr>
        <a:xfrm>
          <a:off x="2889597" y="13342580"/>
          <a:ext cx="663580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AR" sz="1600" b="1"/>
            <a:t>B: 14</a:t>
          </a:r>
        </a:p>
      </xdr:txBody>
    </xdr:sp>
    <xdr:clientData/>
  </xdr:oneCellAnchor>
  <xdr:twoCellAnchor>
    <xdr:from>
      <xdr:col>18</xdr:col>
      <xdr:colOff>44784</xdr:colOff>
      <xdr:row>60</xdr:row>
      <xdr:rowOff>159106</xdr:rowOff>
    </xdr:from>
    <xdr:to>
      <xdr:col>23</xdr:col>
      <xdr:colOff>224117</xdr:colOff>
      <xdr:row>60</xdr:row>
      <xdr:rowOff>168088</xdr:rowOff>
    </xdr:to>
    <xdr:cxnSp macro="">
      <xdr:nvCxnSpPr>
        <xdr:cNvPr id="139" name="Straight Arrow Connector 41">
          <a:extLst>
            <a:ext uri="{FF2B5EF4-FFF2-40B4-BE49-F238E27FC236}">
              <a16:creationId xmlns:a16="http://schemas.microsoft.com/office/drawing/2014/main" id="{1A4CAB9A-D290-4CA6-824A-BADF99FC47A1}"/>
            </a:ext>
          </a:extLst>
        </xdr:cNvPr>
        <xdr:cNvCxnSpPr>
          <a:cxnSpLocks noChangeShapeType="1"/>
        </xdr:cNvCxnSpPr>
      </xdr:nvCxnSpPr>
      <xdr:spPr bwMode="auto">
        <a:xfrm>
          <a:off x="5454984" y="11589106"/>
          <a:ext cx="1655708" cy="8982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>
          <a:outerShdw blurRad="40000" dist="20000" dir="5400000" rotWithShape="0">
            <a:srgbClr val="808080">
              <a:alpha val="37999"/>
            </a:srgbClr>
          </a:outer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19</xdr:col>
      <xdr:colOff>200038</xdr:colOff>
      <xdr:row>58</xdr:row>
      <xdr:rowOff>149709</xdr:rowOff>
    </xdr:from>
    <xdr:ext cx="520976" cy="342786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9699EAF4-B1CC-44CB-A356-E6EA8F2C2237}"/>
            </a:ext>
          </a:extLst>
        </xdr:cNvPr>
        <xdr:cNvSpPr txBox="1"/>
      </xdr:nvSpPr>
      <xdr:spPr>
        <a:xfrm>
          <a:off x="6241609" y="10599995"/>
          <a:ext cx="520976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600" b="1"/>
            <a:t>D: 7</a:t>
          </a:r>
        </a:p>
      </xdr:txBody>
    </xdr:sp>
    <xdr:clientData/>
  </xdr:oneCellAnchor>
  <xdr:twoCellAnchor>
    <xdr:from>
      <xdr:col>18</xdr:col>
      <xdr:colOff>56029</xdr:colOff>
      <xdr:row>72</xdr:row>
      <xdr:rowOff>27267</xdr:rowOff>
    </xdr:from>
    <xdr:to>
      <xdr:col>23</xdr:col>
      <xdr:colOff>268941</xdr:colOff>
      <xdr:row>80</xdr:row>
      <xdr:rowOff>156883</xdr:rowOff>
    </xdr:to>
    <xdr:cxnSp macro="">
      <xdr:nvCxnSpPr>
        <xdr:cNvPr id="141" name="Straight Arrow Connector 41">
          <a:extLst>
            <a:ext uri="{FF2B5EF4-FFF2-40B4-BE49-F238E27FC236}">
              <a16:creationId xmlns:a16="http://schemas.microsoft.com/office/drawing/2014/main" id="{A2A60126-B1D6-4226-A1E8-D542E0C24139}"/>
            </a:ext>
          </a:extLst>
        </xdr:cNvPr>
        <xdr:cNvCxnSpPr>
          <a:cxnSpLocks noChangeShapeType="1"/>
        </xdr:cNvCxnSpPr>
      </xdr:nvCxnSpPr>
      <xdr:spPr bwMode="auto">
        <a:xfrm>
          <a:off x="5466229" y="13733742"/>
          <a:ext cx="1689287" cy="1634566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>
          <a:outerShdw blurRad="40000" dist="20000" dir="5400000" rotWithShape="0">
            <a:srgbClr val="808080">
              <a:alpha val="37999"/>
            </a:srgbClr>
          </a:outer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20</xdr:col>
      <xdr:colOff>46821</xdr:colOff>
      <xdr:row>74</xdr:row>
      <xdr:rowOff>56700</xdr:rowOff>
    </xdr:from>
    <xdr:ext cx="595741" cy="342786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9D83BB2F-AE3D-44F9-94E8-1EC59BB95805}"/>
            </a:ext>
          </a:extLst>
        </xdr:cNvPr>
        <xdr:cNvSpPr txBox="1"/>
      </xdr:nvSpPr>
      <xdr:spPr>
        <a:xfrm rot="2531753">
          <a:off x="6401357" y="13337271"/>
          <a:ext cx="59574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600" b="1"/>
            <a:t>E: 17</a:t>
          </a:r>
        </a:p>
      </xdr:txBody>
    </xdr:sp>
    <xdr:clientData/>
  </xdr:oneCellAnchor>
  <xdr:twoCellAnchor>
    <xdr:from>
      <xdr:col>18</xdr:col>
      <xdr:colOff>30442</xdr:colOff>
      <xdr:row>83</xdr:row>
      <xdr:rowOff>0</xdr:rowOff>
    </xdr:from>
    <xdr:to>
      <xdr:col>23</xdr:col>
      <xdr:colOff>224117</xdr:colOff>
      <xdr:row>83</xdr:row>
      <xdr:rowOff>44823</xdr:rowOff>
    </xdr:to>
    <xdr:cxnSp macro="">
      <xdr:nvCxnSpPr>
        <xdr:cNvPr id="143" name="Straight Arrow Connector 41">
          <a:extLst>
            <a:ext uri="{FF2B5EF4-FFF2-40B4-BE49-F238E27FC236}">
              <a16:creationId xmlns:a16="http://schemas.microsoft.com/office/drawing/2014/main" id="{054DB8C4-81CB-4D36-9BA4-02201AA020B5}"/>
            </a:ext>
          </a:extLst>
        </xdr:cNvPr>
        <xdr:cNvCxnSpPr>
          <a:cxnSpLocks noChangeShapeType="1"/>
        </xdr:cNvCxnSpPr>
      </xdr:nvCxnSpPr>
      <xdr:spPr bwMode="auto">
        <a:xfrm>
          <a:off x="5440642" y="15782925"/>
          <a:ext cx="1670050" cy="44823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>
          <a:outerShdw blurRad="40000" dist="20000" dir="5400000" rotWithShape="0">
            <a:srgbClr val="808080">
              <a:alpha val="37999"/>
            </a:srgbClr>
          </a:outer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19</xdr:col>
      <xdr:colOff>274520</xdr:colOff>
      <xdr:row>81</xdr:row>
      <xdr:rowOff>28126</xdr:rowOff>
    </xdr:from>
    <xdr:ext cx="485839" cy="342786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2C166503-8CD3-4146-9858-F59E9A987461}"/>
            </a:ext>
          </a:extLst>
        </xdr:cNvPr>
        <xdr:cNvSpPr txBox="1"/>
      </xdr:nvSpPr>
      <xdr:spPr>
        <a:xfrm>
          <a:off x="6316091" y="14546947"/>
          <a:ext cx="485839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600" b="1"/>
            <a:t>F: 4</a:t>
          </a:r>
        </a:p>
      </xdr:txBody>
    </xdr:sp>
    <xdr:clientData/>
  </xdr:oneCellAnchor>
  <xdr:twoCellAnchor>
    <xdr:from>
      <xdr:col>8</xdr:col>
      <xdr:colOff>29634</xdr:colOff>
      <xdr:row>74</xdr:row>
      <xdr:rowOff>47192</xdr:rowOff>
    </xdr:from>
    <xdr:to>
      <xdr:col>13</xdr:col>
      <xdr:colOff>201705</xdr:colOff>
      <xdr:row>83</xdr:row>
      <xdr:rowOff>44823</xdr:rowOff>
    </xdr:to>
    <xdr:cxnSp macro="">
      <xdr:nvCxnSpPr>
        <xdr:cNvPr id="145" name="Straight Arrow Connector 41">
          <a:extLst>
            <a:ext uri="{FF2B5EF4-FFF2-40B4-BE49-F238E27FC236}">
              <a16:creationId xmlns:a16="http://schemas.microsoft.com/office/drawing/2014/main" id="{CEB818ED-C01D-4A01-9D3A-36CEDF091AD4}"/>
            </a:ext>
          </a:extLst>
        </xdr:cNvPr>
        <xdr:cNvCxnSpPr>
          <a:cxnSpLocks noChangeShapeType="1"/>
        </xdr:cNvCxnSpPr>
      </xdr:nvCxnSpPr>
      <xdr:spPr bwMode="auto">
        <a:xfrm>
          <a:off x="2487084" y="14115617"/>
          <a:ext cx="1648446" cy="1712131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>
          <a:outerShdw blurRad="40000" dist="20000" dir="5400000" rotWithShape="0">
            <a:srgbClr val="808080">
              <a:alpha val="37999"/>
            </a:srgbClr>
          </a:outer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10</xdr:col>
      <xdr:colOff>188572</xdr:colOff>
      <xdr:row>76</xdr:row>
      <xdr:rowOff>117656</xdr:rowOff>
    </xdr:from>
    <xdr:ext cx="342786" cy="500265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76AE211B-6722-4B81-B9D6-FD9DE1C854AE}"/>
            </a:ext>
          </a:extLst>
        </xdr:cNvPr>
        <xdr:cNvSpPr txBox="1"/>
      </xdr:nvSpPr>
      <xdr:spPr>
        <a:xfrm rot="2737949">
          <a:off x="3334725" y="13830753"/>
          <a:ext cx="50026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600" b="1"/>
            <a:t>C: 2</a:t>
          </a:r>
        </a:p>
      </xdr:txBody>
    </xdr:sp>
    <xdr:clientData/>
  </xdr:oneCellAnchor>
  <xdr:twoCellAnchor>
    <xdr:from>
      <xdr:col>28</xdr:col>
      <xdr:colOff>38621</xdr:colOff>
      <xdr:row>72</xdr:row>
      <xdr:rowOff>0</xdr:rowOff>
    </xdr:from>
    <xdr:to>
      <xdr:col>33</xdr:col>
      <xdr:colOff>235324</xdr:colOff>
      <xdr:row>72</xdr:row>
      <xdr:rowOff>7452</xdr:rowOff>
    </xdr:to>
    <xdr:cxnSp macro="">
      <xdr:nvCxnSpPr>
        <xdr:cNvPr id="147" name="Straight Arrow Connector 41">
          <a:extLst>
            <a:ext uri="{FF2B5EF4-FFF2-40B4-BE49-F238E27FC236}">
              <a16:creationId xmlns:a16="http://schemas.microsoft.com/office/drawing/2014/main" id="{027A9C22-5E26-4DE7-9D2E-D4953057D4DA}"/>
            </a:ext>
          </a:extLst>
        </xdr:cNvPr>
        <xdr:cNvCxnSpPr>
          <a:cxnSpLocks noChangeShapeType="1"/>
        </xdr:cNvCxnSpPr>
      </xdr:nvCxnSpPr>
      <xdr:spPr bwMode="auto">
        <a:xfrm flipV="1">
          <a:off x="8401571" y="13706475"/>
          <a:ext cx="1673078" cy="7452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>
          <a:outerShdw blurRad="40000" dist="20000" dir="5400000" rotWithShape="0">
            <a:srgbClr val="808080">
              <a:alpha val="37999"/>
            </a:srgbClr>
          </a:outer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29</xdr:col>
      <xdr:colOff>246085</xdr:colOff>
      <xdr:row>70</xdr:row>
      <xdr:rowOff>8889</xdr:rowOff>
    </xdr:from>
    <xdr:ext cx="550343" cy="342786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0609F5A2-5362-487F-9851-36EE98EE9207}"/>
            </a:ext>
          </a:extLst>
        </xdr:cNvPr>
        <xdr:cNvSpPr txBox="1"/>
      </xdr:nvSpPr>
      <xdr:spPr>
        <a:xfrm>
          <a:off x="9417299" y="12581889"/>
          <a:ext cx="550343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600" b="1"/>
            <a:t>I: 27</a:t>
          </a:r>
        </a:p>
      </xdr:txBody>
    </xdr:sp>
    <xdr:clientData/>
  </xdr:oneCellAnchor>
  <xdr:twoCellAnchor>
    <xdr:from>
      <xdr:col>28</xdr:col>
      <xdr:colOff>30845</xdr:colOff>
      <xdr:row>60</xdr:row>
      <xdr:rowOff>152894</xdr:rowOff>
    </xdr:from>
    <xdr:to>
      <xdr:col>33</xdr:col>
      <xdr:colOff>246529</xdr:colOff>
      <xdr:row>69</xdr:row>
      <xdr:rowOff>156883</xdr:rowOff>
    </xdr:to>
    <xdr:cxnSp macro="">
      <xdr:nvCxnSpPr>
        <xdr:cNvPr id="149" name="Straight Arrow Connector 41">
          <a:extLst>
            <a:ext uri="{FF2B5EF4-FFF2-40B4-BE49-F238E27FC236}">
              <a16:creationId xmlns:a16="http://schemas.microsoft.com/office/drawing/2014/main" id="{369949EE-54FB-4F9B-BCC8-A2A7EAC582A9}"/>
            </a:ext>
          </a:extLst>
        </xdr:cNvPr>
        <xdr:cNvCxnSpPr>
          <a:cxnSpLocks noChangeShapeType="1"/>
        </xdr:cNvCxnSpPr>
      </xdr:nvCxnSpPr>
      <xdr:spPr bwMode="auto">
        <a:xfrm>
          <a:off x="8393795" y="11582894"/>
          <a:ext cx="1692059" cy="1718489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>
          <a:outerShdw blurRad="40000" dist="20000" dir="5400000" rotWithShape="0">
            <a:srgbClr val="808080">
              <a:alpha val="37999"/>
            </a:srgbClr>
          </a:outer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30</xdr:col>
      <xdr:colOff>191135</xdr:colOff>
      <xdr:row>63</xdr:row>
      <xdr:rowOff>173741</xdr:rowOff>
    </xdr:from>
    <xdr:ext cx="625108" cy="342786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5A7E92B4-87E0-45DA-B862-722245B946FF}"/>
            </a:ext>
          </a:extLst>
        </xdr:cNvPr>
        <xdr:cNvSpPr txBox="1"/>
      </xdr:nvSpPr>
      <xdr:spPr>
        <a:xfrm rot="2580000">
          <a:off x="9675314" y="11508491"/>
          <a:ext cx="625108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600" b="1"/>
            <a:t>H: 17</a:t>
          </a:r>
        </a:p>
      </xdr:txBody>
    </xdr:sp>
    <xdr:clientData/>
  </xdr:oneCellAnchor>
  <xdr:twoCellAnchor>
    <xdr:from>
      <xdr:col>38</xdr:col>
      <xdr:colOff>28911</xdr:colOff>
      <xdr:row>74</xdr:row>
      <xdr:rowOff>22412</xdr:rowOff>
    </xdr:from>
    <xdr:to>
      <xdr:col>43</xdr:col>
      <xdr:colOff>291353</xdr:colOff>
      <xdr:row>83</xdr:row>
      <xdr:rowOff>1102</xdr:rowOff>
    </xdr:to>
    <xdr:cxnSp macro="">
      <xdr:nvCxnSpPr>
        <xdr:cNvPr id="151" name="Straight Arrow Connector 41">
          <a:extLst>
            <a:ext uri="{FF2B5EF4-FFF2-40B4-BE49-F238E27FC236}">
              <a16:creationId xmlns:a16="http://schemas.microsoft.com/office/drawing/2014/main" id="{E85AC7A4-4C4A-4780-B123-C94E309489AF}"/>
            </a:ext>
          </a:extLst>
        </xdr:cNvPr>
        <xdr:cNvCxnSpPr>
          <a:cxnSpLocks noChangeShapeType="1"/>
        </xdr:cNvCxnSpPr>
      </xdr:nvCxnSpPr>
      <xdr:spPr bwMode="auto">
        <a:xfrm flipV="1">
          <a:off x="11344611" y="14090837"/>
          <a:ext cx="1738817" cy="1693190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>
          <a:outerShdw blurRad="40000" dist="20000" dir="5400000" rotWithShape="0">
            <a:srgbClr val="808080">
              <a:alpha val="37999"/>
            </a:srgbClr>
          </a:outer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38</xdr:col>
      <xdr:colOff>302822</xdr:colOff>
      <xdr:row>77</xdr:row>
      <xdr:rowOff>125809</xdr:rowOff>
    </xdr:from>
    <xdr:ext cx="582404" cy="342786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82DF621B-4077-4250-AF1D-D354841C2FDA}"/>
            </a:ext>
          </a:extLst>
        </xdr:cNvPr>
        <xdr:cNvSpPr txBox="1"/>
      </xdr:nvSpPr>
      <xdr:spPr>
        <a:xfrm rot="19021907">
          <a:off x="12290715" y="13937059"/>
          <a:ext cx="582404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600" b="1"/>
            <a:t>L: 22</a:t>
          </a:r>
        </a:p>
      </xdr:txBody>
    </xdr:sp>
    <xdr:clientData/>
  </xdr:oneCellAnchor>
  <xdr:twoCellAnchor>
    <xdr:from>
      <xdr:col>28</xdr:col>
      <xdr:colOff>38247</xdr:colOff>
      <xdr:row>83</xdr:row>
      <xdr:rowOff>8574</xdr:rowOff>
    </xdr:from>
    <xdr:to>
      <xdr:col>33</xdr:col>
      <xdr:colOff>268941</xdr:colOff>
      <xdr:row>83</xdr:row>
      <xdr:rowOff>11206</xdr:rowOff>
    </xdr:to>
    <xdr:cxnSp macro="">
      <xdr:nvCxnSpPr>
        <xdr:cNvPr id="153" name="Straight Arrow Connector 41">
          <a:extLst>
            <a:ext uri="{FF2B5EF4-FFF2-40B4-BE49-F238E27FC236}">
              <a16:creationId xmlns:a16="http://schemas.microsoft.com/office/drawing/2014/main" id="{7D16F18E-6373-44A7-8331-5670DCF7F255}"/>
            </a:ext>
          </a:extLst>
        </xdr:cNvPr>
        <xdr:cNvCxnSpPr>
          <a:cxnSpLocks noChangeShapeType="1"/>
        </xdr:cNvCxnSpPr>
      </xdr:nvCxnSpPr>
      <xdr:spPr bwMode="auto">
        <a:xfrm>
          <a:off x="8401197" y="15791499"/>
          <a:ext cx="1707069" cy="2632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>
          <a:outerShdw blurRad="40000" dist="20000" dir="5400000" rotWithShape="0">
            <a:srgbClr val="808080">
              <a:alpha val="37999"/>
            </a:srgbClr>
          </a:outer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29</xdr:col>
      <xdr:colOff>231446</xdr:colOff>
      <xdr:row>81</xdr:row>
      <xdr:rowOff>2349</xdr:rowOff>
    </xdr:from>
    <xdr:ext cx="459549" cy="342786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F244DDCC-C023-4BF0-8235-833FA71842FA}"/>
            </a:ext>
          </a:extLst>
        </xdr:cNvPr>
        <xdr:cNvSpPr txBox="1"/>
      </xdr:nvSpPr>
      <xdr:spPr>
        <a:xfrm>
          <a:off x="9402660" y="14521170"/>
          <a:ext cx="459549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600" b="1"/>
            <a:t>J: 5</a:t>
          </a:r>
        </a:p>
      </xdr:txBody>
    </xdr:sp>
    <xdr:clientData/>
  </xdr:oneCellAnchor>
  <xdr:twoCellAnchor>
    <xdr:from>
      <xdr:col>38</xdr:col>
      <xdr:colOff>9860</xdr:colOff>
      <xdr:row>71</xdr:row>
      <xdr:rowOff>178715</xdr:rowOff>
    </xdr:from>
    <xdr:to>
      <xdr:col>43</xdr:col>
      <xdr:colOff>246530</xdr:colOff>
      <xdr:row>72</xdr:row>
      <xdr:rowOff>0</xdr:rowOff>
    </xdr:to>
    <xdr:cxnSp macro="">
      <xdr:nvCxnSpPr>
        <xdr:cNvPr id="155" name="Straight Arrow Connector 41">
          <a:extLst>
            <a:ext uri="{FF2B5EF4-FFF2-40B4-BE49-F238E27FC236}">
              <a16:creationId xmlns:a16="http://schemas.microsoft.com/office/drawing/2014/main" id="{7DCE3F49-DA78-452F-A86B-8EBE211F9FB8}"/>
            </a:ext>
          </a:extLst>
        </xdr:cNvPr>
        <xdr:cNvCxnSpPr>
          <a:cxnSpLocks noChangeShapeType="1"/>
        </xdr:cNvCxnSpPr>
      </xdr:nvCxnSpPr>
      <xdr:spPr bwMode="auto">
        <a:xfrm>
          <a:off x="11325560" y="13704215"/>
          <a:ext cx="1713045" cy="2260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>
          <a:outerShdw blurRad="40000" dist="20000" dir="5400000" rotWithShape="0">
            <a:srgbClr val="808080">
              <a:alpha val="37999"/>
            </a:srgbClr>
          </a:outer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39</xdr:col>
      <xdr:colOff>268690</xdr:colOff>
      <xdr:row>70</xdr:row>
      <xdr:rowOff>8706</xdr:rowOff>
    </xdr:from>
    <xdr:ext cx="607859" cy="342786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B114B851-6EFE-4B4B-9CCD-0F45BBCB58BB}"/>
            </a:ext>
          </a:extLst>
        </xdr:cNvPr>
        <xdr:cNvSpPr txBox="1"/>
      </xdr:nvSpPr>
      <xdr:spPr>
        <a:xfrm>
          <a:off x="12569547" y="12581706"/>
          <a:ext cx="607859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600" b="1"/>
            <a:t>K: 26</a:t>
          </a:r>
        </a:p>
      </xdr:txBody>
    </xdr:sp>
    <xdr:clientData/>
  </xdr:oneCellAnchor>
  <xdr:oneCellAnchor>
    <xdr:from>
      <xdr:col>35</xdr:col>
      <xdr:colOff>161838</xdr:colOff>
      <xdr:row>63</xdr:row>
      <xdr:rowOff>105282</xdr:rowOff>
    </xdr:from>
    <xdr:ext cx="626390" cy="342786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58DA9FE2-33BD-4283-AC55-71E203826F37}"/>
            </a:ext>
          </a:extLst>
        </xdr:cNvPr>
        <xdr:cNvSpPr txBox="1"/>
      </xdr:nvSpPr>
      <xdr:spPr>
        <a:xfrm rot="1140000">
          <a:off x="11210838" y="11440032"/>
          <a:ext cx="626390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600" b="1"/>
            <a:t>G: 27</a:t>
          </a:r>
        </a:p>
      </xdr:txBody>
    </xdr:sp>
    <xdr:clientData/>
  </xdr:oneCellAnchor>
  <xdr:twoCellAnchor>
    <xdr:from>
      <xdr:col>26</xdr:col>
      <xdr:colOff>8031</xdr:colOff>
      <xdr:row>74</xdr:row>
      <xdr:rowOff>89647</xdr:rowOff>
    </xdr:from>
    <xdr:to>
      <xdr:col>26</xdr:col>
      <xdr:colOff>22412</xdr:colOff>
      <xdr:row>80</xdr:row>
      <xdr:rowOff>160058</xdr:rowOff>
    </xdr:to>
    <xdr:cxnSp macro="">
      <xdr:nvCxnSpPr>
        <xdr:cNvPr id="160" name="Straight Arrow Connector 41">
          <a:extLst>
            <a:ext uri="{FF2B5EF4-FFF2-40B4-BE49-F238E27FC236}">
              <a16:creationId xmlns:a16="http://schemas.microsoft.com/office/drawing/2014/main" id="{C281EA49-78C5-4020-ADB6-5C132B12A33F}"/>
            </a:ext>
          </a:extLst>
        </xdr:cNvPr>
        <xdr:cNvCxnSpPr>
          <a:cxnSpLocks noChangeShapeType="1"/>
        </xdr:cNvCxnSpPr>
      </xdr:nvCxnSpPr>
      <xdr:spPr bwMode="auto">
        <a:xfrm flipV="1">
          <a:off x="7780431" y="14158072"/>
          <a:ext cx="14381" cy="1213411"/>
        </a:xfrm>
        <a:prstGeom prst="straightConnector1">
          <a:avLst/>
        </a:prstGeom>
        <a:noFill/>
        <a:ln w="15875">
          <a:solidFill>
            <a:srgbClr val="000000"/>
          </a:solidFill>
          <a:prstDash val="sysDash"/>
          <a:round/>
          <a:headEnd/>
          <a:tailEnd type="triangle" w="med" len="med"/>
        </a:ln>
        <a:effectLst>
          <a:outerShdw blurRad="40000" dist="20000" dir="5400000" rotWithShape="0">
            <a:srgbClr val="808080">
              <a:alpha val="37999"/>
            </a:srgbClr>
          </a:outer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35</xdr:col>
      <xdr:colOff>275318</xdr:colOff>
      <xdr:row>74</xdr:row>
      <xdr:rowOff>105683</xdr:rowOff>
    </xdr:from>
    <xdr:to>
      <xdr:col>36</xdr:col>
      <xdr:colOff>54429</xdr:colOff>
      <xdr:row>80</xdr:row>
      <xdr:rowOff>108857</xdr:rowOff>
    </xdr:to>
    <xdr:cxnSp macro="">
      <xdr:nvCxnSpPr>
        <xdr:cNvPr id="161" name="Straight Arrow Connector 41">
          <a:extLst>
            <a:ext uri="{FF2B5EF4-FFF2-40B4-BE49-F238E27FC236}">
              <a16:creationId xmlns:a16="http://schemas.microsoft.com/office/drawing/2014/main" id="{8230A240-5000-48DA-A54B-C2091A5FA1F3}"/>
            </a:ext>
          </a:extLst>
        </xdr:cNvPr>
        <xdr:cNvCxnSpPr>
          <a:cxnSpLocks noChangeShapeType="1"/>
        </xdr:cNvCxnSpPr>
      </xdr:nvCxnSpPr>
      <xdr:spPr bwMode="auto">
        <a:xfrm>
          <a:off x="11324318" y="13386254"/>
          <a:ext cx="92075" cy="1064532"/>
        </a:xfrm>
        <a:prstGeom prst="straightConnector1">
          <a:avLst/>
        </a:prstGeom>
        <a:noFill/>
        <a:ln w="15875">
          <a:solidFill>
            <a:srgbClr val="000000"/>
          </a:solidFill>
          <a:prstDash val="sysDash"/>
          <a:round/>
          <a:headEnd/>
          <a:tailEnd type="triangle" w="med" len="med"/>
        </a:ln>
        <a:effectLst>
          <a:outerShdw blurRad="40000" dist="20000" dir="5400000" rotWithShape="0">
            <a:srgbClr val="808080">
              <a:alpha val="37999"/>
            </a:srgbClr>
          </a:outer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23</xdr:col>
      <xdr:colOff>237168</xdr:colOff>
      <xdr:row>65</xdr:row>
      <xdr:rowOff>31694</xdr:rowOff>
    </xdr:from>
    <xdr:ext cx="512897" cy="342786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72A9C3E5-91E0-4B87-A030-823E7EB2324C}"/>
            </a:ext>
          </a:extLst>
        </xdr:cNvPr>
        <xdr:cNvSpPr txBox="1"/>
      </xdr:nvSpPr>
      <xdr:spPr>
        <a:xfrm>
          <a:off x="7530597" y="11720230"/>
          <a:ext cx="512897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600" b="1"/>
            <a:t>α: 0</a:t>
          </a:r>
        </a:p>
      </xdr:txBody>
    </xdr:sp>
    <xdr:clientData/>
  </xdr:oneCellAnchor>
  <xdr:oneCellAnchor>
    <xdr:from>
      <xdr:col>26</xdr:col>
      <xdr:colOff>35445</xdr:colOff>
      <xdr:row>76</xdr:row>
      <xdr:rowOff>96885</xdr:rowOff>
    </xdr:from>
    <xdr:ext cx="503536" cy="342786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446E0BDB-4F59-4EEA-BE22-0DAEABB14C2C}"/>
            </a:ext>
          </a:extLst>
        </xdr:cNvPr>
        <xdr:cNvSpPr txBox="1"/>
      </xdr:nvSpPr>
      <xdr:spPr>
        <a:xfrm>
          <a:off x="8267766" y="13731242"/>
          <a:ext cx="503536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600" b="1"/>
            <a:t>β: 0</a:t>
          </a:r>
        </a:p>
      </xdr:txBody>
    </xdr:sp>
    <xdr:clientData/>
  </xdr:oneCellAnchor>
  <xdr:twoCellAnchor>
    <xdr:from>
      <xdr:col>8</xdr:col>
      <xdr:colOff>30443</xdr:colOff>
      <xdr:row>135</xdr:row>
      <xdr:rowOff>11206</xdr:rowOff>
    </xdr:from>
    <xdr:to>
      <xdr:col>13</xdr:col>
      <xdr:colOff>235323</xdr:colOff>
      <xdr:row>143</xdr:row>
      <xdr:rowOff>160058</xdr:rowOff>
    </xdr:to>
    <xdr:cxnSp macro="">
      <xdr:nvCxnSpPr>
        <xdr:cNvPr id="165" name="Straight Arrow Connector 41">
          <a:extLst>
            <a:ext uri="{FF2B5EF4-FFF2-40B4-BE49-F238E27FC236}">
              <a16:creationId xmlns:a16="http://schemas.microsoft.com/office/drawing/2014/main" id="{65DD384E-3F9B-4434-A512-36E0F69A59B7}"/>
            </a:ext>
          </a:extLst>
        </xdr:cNvPr>
        <xdr:cNvCxnSpPr>
          <a:cxnSpLocks noChangeShapeType="1"/>
        </xdr:cNvCxnSpPr>
      </xdr:nvCxnSpPr>
      <xdr:spPr bwMode="auto">
        <a:xfrm flipV="1">
          <a:off x="2487893" y="25747756"/>
          <a:ext cx="1681255" cy="1672852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>
          <a:outerShdw blurRad="40000" dist="20000" dir="5400000" rotWithShape="0">
            <a:srgbClr val="808080">
              <a:alpha val="37999"/>
            </a:srgbClr>
          </a:outer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9</xdr:col>
      <xdr:colOff>38583</xdr:colOff>
      <xdr:row>138</xdr:row>
      <xdr:rowOff>63794</xdr:rowOff>
    </xdr:from>
    <xdr:ext cx="619978" cy="342786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D49FD0B5-8634-4124-BC92-52D767BD8B10}"/>
            </a:ext>
          </a:extLst>
        </xdr:cNvPr>
        <xdr:cNvSpPr txBox="1"/>
      </xdr:nvSpPr>
      <xdr:spPr>
        <a:xfrm rot="19047545">
          <a:off x="2950512" y="24692723"/>
          <a:ext cx="619978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600" b="1"/>
            <a:t>A: 22</a:t>
          </a:r>
        </a:p>
      </xdr:txBody>
    </xdr:sp>
    <xdr:clientData/>
  </xdr:oneCellAnchor>
  <xdr:twoCellAnchor>
    <xdr:from>
      <xdr:col>8</xdr:col>
      <xdr:colOff>62054</xdr:colOff>
      <xdr:row>145</xdr:row>
      <xdr:rowOff>168089</xdr:rowOff>
    </xdr:from>
    <xdr:to>
      <xdr:col>13</xdr:col>
      <xdr:colOff>179294</xdr:colOff>
      <xdr:row>146</xdr:row>
      <xdr:rowOff>3145</xdr:rowOff>
    </xdr:to>
    <xdr:cxnSp macro="">
      <xdr:nvCxnSpPr>
        <xdr:cNvPr id="167" name="Straight Arrow Connector 41">
          <a:extLst>
            <a:ext uri="{FF2B5EF4-FFF2-40B4-BE49-F238E27FC236}">
              <a16:creationId xmlns:a16="http://schemas.microsoft.com/office/drawing/2014/main" id="{C55BFC1E-FEBB-4883-B2DA-3AF3DB6389AC}"/>
            </a:ext>
          </a:extLst>
        </xdr:cNvPr>
        <xdr:cNvCxnSpPr>
          <a:cxnSpLocks noChangeShapeType="1"/>
        </xdr:cNvCxnSpPr>
      </xdr:nvCxnSpPr>
      <xdr:spPr bwMode="auto">
        <a:xfrm flipV="1">
          <a:off x="2519504" y="27809639"/>
          <a:ext cx="1593615" cy="25556"/>
        </a:xfrm>
        <a:prstGeom prst="straightConnector1">
          <a:avLst/>
        </a:prstGeom>
        <a:noFill/>
        <a:ln w="19050">
          <a:solidFill>
            <a:srgbClr val="FF0000"/>
          </a:solidFill>
          <a:round/>
          <a:headEnd/>
          <a:tailEnd type="triangle" w="med" len="med"/>
        </a:ln>
        <a:effectLst>
          <a:outerShdw blurRad="40000" dist="20000" dir="5400000" rotWithShape="0">
            <a:srgbClr val="808080">
              <a:alpha val="37999"/>
            </a:srgbClr>
          </a:outer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9</xdr:col>
      <xdr:colOff>136872</xdr:colOff>
      <xdr:row>144</xdr:row>
      <xdr:rowOff>7580</xdr:rowOff>
    </xdr:from>
    <xdr:ext cx="663580" cy="342786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297704E6-0D14-4776-9B04-54F70B9B1C5C}"/>
            </a:ext>
          </a:extLst>
        </xdr:cNvPr>
        <xdr:cNvSpPr txBox="1"/>
      </xdr:nvSpPr>
      <xdr:spPr>
        <a:xfrm>
          <a:off x="2889597" y="27458630"/>
          <a:ext cx="663580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AR" sz="1600" b="1">
              <a:solidFill>
                <a:srgbClr val="FF0000"/>
              </a:solidFill>
            </a:rPr>
            <a:t>B: 14</a:t>
          </a:r>
        </a:p>
      </xdr:txBody>
    </xdr:sp>
    <xdr:clientData/>
  </xdr:oneCellAnchor>
  <xdr:twoCellAnchor>
    <xdr:from>
      <xdr:col>18</xdr:col>
      <xdr:colOff>44784</xdr:colOff>
      <xdr:row>134</xdr:row>
      <xdr:rowOff>159106</xdr:rowOff>
    </xdr:from>
    <xdr:to>
      <xdr:col>23</xdr:col>
      <xdr:colOff>224117</xdr:colOff>
      <xdr:row>134</xdr:row>
      <xdr:rowOff>168088</xdr:rowOff>
    </xdr:to>
    <xdr:cxnSp macro="">
      <xdr:nvCxnSpPr>
        <xdr:cNvPr id="169" name="Straight Arrow Connector 41">
          <a:extLst>
            <a:ext uri="{FF2B5EF4-FFF2-40B4-BE49-F238E27FC236}">
              <a16:creationId xmlns:a16="http://schemas.microsoft.com/office/drawing/2014/main" id="{9AF18333-FBED-45DD-8C0C-F5DA3E439F89}"/>
            </a:ext>
          </a:extLst>
        </xdr:cNvPr>
        <xdr:cNvCxnSpPr>
          <a:cxnSpLocks noChangeShapeType="1"/>
        </xdr:cNvCxnSpPr>
      </xdr:nvCxnSpPr>
      <xdr:spPr bwMode="auto">
        <a:xfrm>
          <a:off x="5454984" y="25705156"/>
          <a:ext cx="1655708" cy="8982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>
          <a:outerShdw blurRad="40000" dist="20000" dir="5400000" rotWithShape="0">
            <a:srgbClr val="808080">
              <a:alpha val="37999"/>
            </a:srgbClr>
          </a:outer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19</xdr:col>
      <xdr:colOff>200038</xdr:colOff>
      <xdr:row>132</xdr:row>
      <xdr:rowOff>149709</xdr:rowOff>
    </xdr:from>
    <xdr:ext cx="520976" cy="342786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4FF46DF2-DD54-415E-99D2-04849EC762D7}"/>
            </a:ext>
          </a:extLst>
        </xdr:cNvPr>
        <xdr:cNvSpPr txBox="1"/>
      </xdr:nvSpPr>
      <xdr:spPr>
        <a:xfrm>
          <a:off x="6241609" y="23717280"/>
          <a:ext cx="520976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600" b="1"/>
            <a:t>D: 7</a:t>
          </a:r>
        </a:p>
      </xdr:txBody>
    </xdr:sp>
    <xdr:clientData/>
  </xdr:oneCellAnchor>
  <xdr:twoCellAnchor>
    <xdr:from>
      <xdr:col>18</xdr:col>
      <xdr:colOff>56029</xdr:colOff>
      <xdr:row>146</xdr:row>
      <xdr:rowOff>27267</xdr:rowOff>
    </xdr:from>
    <xdr:to>
      <xdr:col>23</xdr:col>
      <xdr:colOff>268941</xdr:colOff>
      <xdr:row>154</xdr:row>
      <xdr:rowOff>156883</xdr:rowOff>
    </xdr:to>
    <xdr:cxnSp macro="">
      <xdr:nvCxnSpPr>
        <xdr:cNvPr id="171" name="Straight Arrow Connector 41">
          <a:extLst>
            <a:ext uri="{FF2B5EF4-FFF2-40B4-BE49-F238E27FC236}">
              <a16:creationId xmlns:a16="http://schemas.microsoft.com/office/drawing/2014/main" id="{275F4717-7BD6-4C26-9203-5DEA33B49ABC}"/>
            </a:ext>
          </a:extLst>
        </xdr:cNvPr>
        <xdr:cNvCxnSpPr>
          <a:cxnSpLocks noChangeShapeType="1"/>
        </xdr:cNvCxnSpPr>
      </xdr:nvCxnSpPr>
      <xdr:spPr bwMode="auto">
        <a:xfrm>
          <a:off x="5466229" y="27859317"/>
          <a:ext cx="1689287" cy="1653616"/>
        </a:xfrm>
        <a:prstGeom prst="straightConnector1">
          <a:avLst/>
        </a:prstGeom>
        <a:noFill/>
        <a:ln w="19050">
          <a:solidFill>
            <a:srgbClr val="FF0000"/>
          </a:solidFill>
          <a:round/>
          <a:headEnd/>
          <a:tailEnd type="triangle" w="med" len="med"/>
        </a:ln>
        <a:effectLst>
          <a:outerShdw blurRad="40000" dist="20000" dir="5400000" rotWithShape="0">
            <a:srgbClr val="808080">
              <a:alpha val="37999"/>
            </a:srgbClr>
          </a:outer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20</xdr:col>
      <xdr:colOff>46821</xdr:colOff>
      <xdr:row>148</xdr:row>
      <xdr:rowOff>56700</xdr:rowOff>
    </xdr:from>
    <xdr:ext cx="595741" cy="342786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8EB7A261-959F-46AA-87A1-DDD6942D63D4}"/>
            </a:ext>
          </a:extLst>
        </xdr:cNvPr>
        <xdr:cNvSpPr txBox="1"/>
      </xdr:nvSpPr>
      <xdr:spPr>
        <a:xfrm rot="2531753">
          <a:off x="6401357" y="26454557"/>
          <a:ext cx="59574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600" b="1">
              <a:solidFill>
                <a:srgbClr val="FF0000"/>
              </a:solidFill>
            </a:rPr>
            <a:t>E: 17</a:t>
          </a:r>
        </a:p>
      </xdr:txBody>
    </xdr:sp>
    <xdr:clientData/>
  </xdr:oneCellAnchor>
  <xdr:twoCellAnchor>
    <xdr:from>
      <xdr:col>18</xdr:col>
      <xdr:colOff>30442</xdr:colOff>
      <xdr:row>157</xdr:row>
      <xdr:rowOff>0</xdr:rowOff>
    </xdr:from>
    <xdr:to>
      <xdr:col>23</xdr:col>
      <xdr:colOff>224117</xdr:colOff>
      <xdr:row>157</xdr:row>
      <xdr:rowOff>44823</xdr:rowOff>
    </xdr:to>
    <xdr:cxnSp macro="">
      <xdr:nvCxnSpPr>
        <xdr:cNvPr id="173" name="Straight Arrow Connector 41">
          <a:extLst>
            <a:ext uri="{FF2B5EF4-FFF2-40B4-BE49-F238E27FC236}">
              <a16:creationId xmlns:a16="http://schemas.microsoft.com/office/drawing/2014/main" id="{40F6D4AA-E86B-4CE0-B0B6-0EF6550DB039}"/>
            </a:ext>
          </a:extLst>
        </xdr:cNvPr>
        <xdr:cNvCxnSpPr>
          <a:cxnSpLocks noChangeShapeType="1"/>
        </xdr:cNvCxnSpPr>
      </xdr:nvCxnSpPr>
      <xdr:spPr bwMode="auto">
        <a:xfrm>
          <a:off x="5440642" y="29927550"/>
          <a:ext cx="1670050" cy="44823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>
          <a:outerShdw blurRad="40000" dist="20000" dir="5400000" rotWithShape="0">
            <a:srgbClr val="808080">
              <a:alpha val="37999"/>
            </a:srgbClr>
          </a:outer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19</xdr:col>
      <xdr:colOff>274520</xdr:colOff>
      <xdr:row>155</xdr:row>
      <xdr:rowOff>28126</xdr:rowOff>
    </xdr:from>
    <xdr:ext cx="485839" cy="342786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77EC9964-7102-43BB-8FF7-49A771961E79}"/>
            </a:ext>
          </a:extLst>
        </xdr:cNvPr>
        <xdr:cNvSpPr txBox="1"/>
      </xdr:nvSpPr>
      <xdr:spPr>
        <a:xfrm>
          <a:off x="6316091" y="27664233"/>
          <a:ext cx="485839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600" b="1"/>
            <a:t>F: 4</a:t>
          </a:r>
        </a:p>
      </xdr:txBody>
    </xdr:sp>
    <xdr:clientData/>
  </xdr:oneCellAnchor>
  <xdr:twoCellAnchor>
    <xdr:from>
      <xdr:col>8</xdr:col>
      <xdr:colOff>29634</xdr:colOff>
      <xdr:row>148</xdr:row>
      <xdr:rowOff>47192</xdr:rowOff>
    </xdr:from>
    <xdr:to>
      <xdr:col>13</xdr:col>
      <xdr:colOff>201705</xdr:colOff>
      <xdr:row>157</xdr:row>
      <xdr:rowOff>44823</xdr:rowOff>
    </xdr:to>
    <xdr:cxnSp macro="">
      <xdr:nvCxnSpPr>
        <xdr:cNvPr id="175" name="Straight Arrow Connector 41">
          <a:extLst>
            <a:ext uri="{FF2B5EF4-FFF2-40B4-BE49-F238E27FC236}">
              <a16:creationId xmlns:a16="http://schemas.microsoft.com/office/drawing/2014/main" id="{FC3674FE-E17A-4BB4-8982-92D2845DF705}"/>
            </a:ext>
          </a:extLst>
        </xdr:cNvPr>
        <xdr:cNvCxnSpPr>
          <a:cxnSpLocks noChangeShapeType="1"/>
        </xdr:cNvCxnSpPr>
      </xdr:nvCxnSpPr>
      <xdr:spPr bwMode="auto">
        <a:xfrm>
          <a:off x="2487084" y="28260242"/>
          <a:ext cx="1648446" cy="1712131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>
          <a:outerShdw blurRad="40000" dist="20000" dir="5400000" rotWithShape="0">
            <a:srgbClr val="808080">
              <a:alpha val="37999"/>
            </a:srgbClr>
          </a:outer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10</xdr:col>
      <xdr:colOff>188572</xdr:colOff>
      <xdr:row>150</xdr:row>
      <xdr:rowOff>111306</xdr:rowOff>
    </xdr:from>
    <xdr:ext cx="342786" cy="500265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FD330DE9-60BB-4320-B145-D401A910DAA8}"/>
            </a:ext>
          </a:extLst>
        </xdr:cNvPr>
        <xdr:cNvSpPr txBox="1"/>
      </xdr:nvSpPr>
      <xdr:spPr>
        <a:xfrm rot="2737949">
          <a:off x="3334725" y="26941689"/>
          <a:ext cx="50026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600" b="1"/>
            <a:t>C: 2</a:t>
          </a:r>
        </a:p>
      </xdr:txBody>
    </xdr:sp>
    <xdr:clientData/>
  </xdr:oneCellAnchor>
  <xdr:twoCellAnchor>
    <xdr:from>
      <xdr:col>28</xdr:col>
      <xdr:colOff>38621</xdr:colOff>
      <xdr:row>146</xdr:row>
      <xdr:rowOff>0</xdr:rowOff>
    </xdr:from>
    <xdr:to>
      <xdr:col>33</xdr:col>
      <xdr:colOff>235324</xdr:colOff>
      <xdr:row>146</xdr:row>
      <xdr:rowOff>7452</xdr:rowOff>
    </xdr:to>
    <xdr:cxnSp macro="">
      <xdr:nvCxnSpPr>
        <xdr:cNvPr id="177" name="Straight Arrow Connector 41">
          <a:extLst>
            <a:ext uri="{FF2B5EF4-FFF2-40B4-BE49-F238E27FC236}">
              <a16:creationId xmlns:a16="http://schemas.microsoft.com/office/drawing/2014/main" id="{51E5696E-37F5-4D15-98D1-A9D80570DC6D}"/>
            </a:ext>
          </a:extLst>
        </xdr:cNvPr>
        <xdr:cNvCxnSpPr>
          <a:cxnSpLocks noChangeShapeType="1"/>
        </xdr:cNvCxnSpPr>
      </xdr:nvCxnSpPr>
      <xdr:spPr bwMode="auto">
        <a:xfrm flipV="1">
          <a:off x="8401571" y="27832050"/>
          <a:ext cx="1673078" cy="7452"/>
        </a:xfrm>
        <a:prstGeom prst="straightConnector1">
          <a:avLst/>
        </a:prstGeom>
        <a:noFill/>
        <a:ln w="19050">
          <a:solidFill>
            <a:srgbClr val="FF0000"/>
          </a:solidFill>
          <a:round/>
          <a:headEnd/>
          <a:tailEnd type="triangle" w="med" len="med"/>
        </a:ln>
        <a:effectLst>
          <a:outerShdw blurRad="40000" dist="20000" dir="5400000" rotWithShape="0">
            <a:srgbClr val="808080">
              <a:alpha val="37999"/>
            </a:srgbClr>
          </a:outer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29</xdr:col>
      <xdr:colOff>246085</xdr:colOff>
      <xdr:row>144</xdr:row>
      <xdr:rowOff>8889</xdr:rowOff>
    </xdr:from>
    <xdr:ext cx="550343" cy="342786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E02D2067-8A1B-45E3-BA95-538440A410A1}"/>
            </a:ext>
          </a:extLst>
        </xdr:cNvPr>
        <xdr:cNvSpPr txBox="1"/>
      </xdr:nvSpPr>
      <xdr:spPr>
        <a:xfrm>
          <a:off x="9417299" y="25699175"/>
          <a:ext cx="550343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600" b="1">
              <a:solidFill>
                <a:srgbClr val="FF0000"/>
              </a:solidFill>
            </a:rPr>
            <a:t>I: 27</a:t>
          </a:r>
        </a:p>
      </xdr:txBody>
    </xdr:sp>
    <xdr:clientData/>
  </xdr:oneCellAnchor>
  <xdr:twoCellAnchor>
    <xdr:from>
      <xdr:col>28</xdr:col>
      <xdr:colOff>30845</xdr:colOff>
      <xdr:row>134</xdr:row>
      <xdr:rowOff>152894</xdr:rowOff>
    </xdr:from>
    <xdr:to>
      <xdr:col>33</xdr:col>
      <xdr:colOff>246529</xdr:colOff>
      <xdr:row>143</xdr:row>
      <xdr:rowOff>156883</xdr:rowOff>
    </xdr:to>
    <xdr:cxnSp macro="">
      <xdr:nvCxnSpPr>
        <xdr:cNvPr id="179" name="Straight Arrow Connector 41">
          <a:extLst>
            <a:ext uri="{FF2B5EF4-FFF2-40B4-BE49-F238E27FC236}">
              <a16:creationId xmlns:a16="http://schemas.microsoft.com/office/drawing/2014/main" id="{36A06552-85BE-4209-BD68-4C00746A427E}"/>
            </a:ext>
          </a:extLst>
        </xdr:cNvPr>
        <xdr:cNvCxnSpPr>
          <a:cxnSpLocks noChangeShapeType="1"/>
        </xdr:cNvCxnSpPr>
      </xdr:nvCxnSpPr>
      <xdr:spPr bwMode="auto">
        <a:xfrm>
          <a:off x="8393795" y="25698944"/>
          <a:ext cx="1692059" cy="1718489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>
          <a:outerShdw blurRad="40000" dist="20000" dir="5400000" rotWithShape="0">
            <a:srgbClr val="808080">
              <a:alpha val="37999"/>
            </a:srgbClr>
          </a:outer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30</xdr:col>
      <xdr:colOff>46146</xdr:colOff>
      <xdr:row>137</xdr:row>
      <xdr:rowOff>64734</xdr:rowOff>
    </xdr:from>
    <xdr:ext cx="625108" cy="342786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CCE12E30-1169-42DB-ABF7-67E5FB2B402D}"/>
            </a:ext>
          </a:extLst>
        </xdr:cNvPr>
        <xdr:cNvSpPr txBox="1"/>
      </xdr:nvSpPr>
      <xdr:spPr>
        <a:xfrm rot="2621123">
          <a:off x="9530325" y="24516770"/>
          <a:ext cx="625108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600" b="1"/>
            <a:t>H: 17</a:t>
          </a:r>
        </a:p>
      </xdr:txBody>
    </xdr:sp>
    <xdr:clientData/>
  </xdr:oneCellAnchor>
  <xdr:twoCellAnchor>
    <xdr:from>
      <xdr:col>38</xdr:col>
      <xdr:colOff>28911</xdr:colOff>
      <xdr:row>148</xdr:row>
      <xdr:rowOff>22412</xdr:rowOff>
    </xdr:from>
    <xdr:to>
      <xdr:col>43</xdr:col>
      <xdr:colOff>291353</xdr:colOff>
      <xdr:row>157</xdr:row>
      <xdr:rowOff>1102</xdr:rowOff>
    </xdr:to>
    <xdr:cxnSp macro="">
      <xdr:nvCxnSpPr>
        <xdr:cNvPr id="181" name="Straight Arrow Connector 41">
          <a:extLst>
            <a:ext uri="{FF2B5EF4-FFF2-40B4-BE49-F238E27FC236}">
              <a16:creationId xmlns:a16="http://schemas.microsoft.com/office/drawing/2014/main" id="{D39694F6-5910-45F9-BA68-3CBAE0FF388E}"/>
            </a:ext>
          </a:extLst>
        </xdr:cNvPr>
        <xdr:cNvCxnSpPr>
          <a:cxnSpLocks noChangeShapeType="1"/>
        </xdr:cNvCxnSpPr>
      </xdr:nvCxnSpPr>
      <xdr:spPr bwMode="auto">
        <a:xfrm flipV="1">
          <a:off x="11344611" y="28235462"/>
          <a:ext cx="1738817" cy="1693190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>
          <a:outerShdw blurRad="40000" dist="20000" dir="5400000" rotWithShape="0">
            <a:srgbClr val="808080">
              <a:alpha val="37999"/>
            </a:srgbClr>
          </a:outer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38</xdr:col>
      <xdr:colOff>302822</xdr:colOff>
      <xdr:row>151</xdr:row>
      <xdr:rowOff>125809</xdr:rowOff>
    </xdr:from>
    <xdr:ext cx="582404" cy="342786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B5EF79D2-21D1-48F3-939A-C5910E0520D8}"/>
            </a:ext>
          </a:extLst>
        </xdr:cNvPr>
        <xdr:cNvSpPr txBox="1"/>
      </xdr:nvSpPr>
      <xdr:spPr>
        <a:xfrm rot="19021907">
          <a:off x="12290715" y="27054345"/>
          <a:ext cx="582404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600" b="1"/>
            <a:t>L: 22</a:t>
          </a:r>
        </a:p>
      </xdr:txBody>
    </xdr:sp>
    <xdr:clientData/>
  </xdr:oneCellAnchor>
  <xdr:twoCellAnchor>
    <xdr:from>
      <xdr:col>28</xdr:col>
      <xdr:colOff>38247</xdr:colOff>
      <xdr:row>157</xdr:row>
      <xdr:rowOff>8574</xdr:rowOff>
    </xdr:from>
    <xdr:to>
      <xdr:col>33</xdr:col>
      <xdr:colOff>268941</xdr:colOff>
      <xdr:row>157</xdr:row>
      <xdr:rowOff>11206</xdr:rowOff>
    </xdr:to>
    <xdr:cxnSp macro="">
      <xdr:nvCxnSpPr>
        <xdr:cNvPr id="183" name="Straight Arrow Connector 41">
          <a:extLst>
            <a:ext uri="{FF2B5EF4-FFF2-40B4-BE49-F238E27FC236}">
              <a16:creationId xmlns:a16="http://schemas.microsoft.com/office/drawing/2014/main" id="{106E4827-7BAE-442D-86DD-316AB7E471EE}"/>
            </a:ext>
          </a:extLst>
        </xdr:cNvPr>
        <xdr:cNvCxnSpPr>
          <a:cxnSpLocks noChangeShapeType="1"/>
        </xdr:cNvCxnSpPr>
      </xdr:nvCxnSpPr>
      <xdr:spPr bwMode="auto">
        <a:xfrm>
          <a:off x="8401197" y="29936124"/>
          <a:ext cx="1707069" cy="2632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>
          <a:outerShdw blurRad="40000" dist="20000" dir="5400000" rotWithShape="0">
            <a:srgbClr val="808080">
              <a:alpha val="37999"/>
            </a:srgbClr>
          </a:outer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29</xdr:col>
      <xdr:colOff>231446</xdr:colOff>
      <xdr:row>155</xdr:row>
      <xdr:rowOff>2349</xdr:rowOff>
    </xdr:from>
    <xdr:ext cx="459549" cy="342786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45232B32-104A-4538-8D8B-6D46E49E0A76}"/>
            </a:ext>
          </a:extLst>
        </xdr:cNvPr>
        <xdr:cNvSpPr txBox="1"/>
      </xdr:nvSpPr>
      <xdr:spPr>
        <a:xfrm>
          <a:off x="9402660" y="27638456"/>
          <a:ext cx="459549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600" b="1"/>
            <a:t>J: 5</a:t>
          </a:r>
        </a:p>
      </xdr:txBody>
    </xdr:sp>
    <xdr:clientData/>
  </xdr:oneCellAnchor>
  <xdr:twoCellAnchor>
    <xdr:from>
      <xdr:col>38</xdr:col>
      <xdr:colOff>9860</xdr:colOff>
      <xdr:row>145</xdr:row>
      <xdr:rowOff>178715</xdr:rowOff>
    </xdr:from>
    <xdr:to>
      <xdr:col>43</xdr:col>
      <xdr:colOff>246530</xdr:colOff>
      <xdr:row>146</xdr:row>
      <xdr:rowOff>0</xdr:rowOff>
    </xdr:to>
    <xdr:cxnSp macro="">
      <xdr:nvCxnSpPr>
        <xdr:cNvPr id="185" name="Straight Arrow Connector 41">
          <a:extLst>
            <a:ext uri="{FF2B5EF4-FFF2-40B4-BE49-F238E27FC236}">
              <a16:creationId xmlns:a16="http://schemas.microsoft.com/office/drawing/2014/main" id="{D5F30635-7F16-44E7-8322-CC3DE14212F7}"/>
            </a:ext>
          </a:extLst>
        </xdr:cNvPr>
        <xdr:cNvCxnSpPr>
          <a:cxnSpLocks noChangeShapeType="1"/>
        </xdr:cNvCxnSpPr>
      </xdr:nvCxnSpPr>
      <xdr:spPr bwMode="auto">
        <a:xfrm>
          <a:off x="11325560" y="27820265"/>
          <a:ext cx="1713045" cy="11785"/>
        </a:xfrm>
        <a:prstGeom prst="straightConnector1">
          <a:avLst/>
        </a:prstGeom>
        <a:noFill/>
        <a:ln w="19050">
          <a:solidFill>
            <a:srgbClr val="FF0000"/>
          </a:solidFill>
          <a:round/>
          <a:headEnd/>
          <a:tailEnd type="triangle" w="med" len="med"/>
        </a:ln>
        <a:effectLst>
          <a:outerShdw blurRad="40000" dist="20000" dir="5400000" rotWithShape="0">
            <a:srgbClr val="808080">
              <a:alpha val="37999"/>
            </a:srgbClr>
          </a:outer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39</xdr:col>
      <xdr:colOff>268690</xdr:colOff>
      <xdr:row>144</xdr:row>
      <xdr:rowOff>8706</xdr:rowOff>
    </xdr:from>
    <xdr:ext cx="607859" cy="342786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40753375-032A-4C6A-A722-9CA2B84ADE85}"/>
            </a:ext>
          </a:extLst>
        </xdr:cNvPr>
        <xdr:cNvSpPr txBox="1"/>
      </xdr:nvSpPr>
      <xdr:spPr>
        <a:xfrm>
          <a:off x="12569547" y="25698992"/>
          <a:ext cx="607859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600" b="1">
              <a:solidFill>
                <a:srgbClr val="FF0000"/>
              </a:solidFill>
            </a:rPr>
            <a:t>K: 26</a:t>
          </a:r>
        </a:p>
      </xdr:txBody>
    </xdr:sp>
    <xdr:clientData/>
  </xdr:oneCellAnchor>
  <xdr:twoCellAnchor>
    <xdr:from>
      <xdr:col>28</xdr:col>
      <xdr:colOff>27229</xdr:colOff>
      <xdr:row>134</xdr:row>
      <xdr:rowOff>135200</xdr:rowOff>
    </xdr:from>
    <xdr:to>
      <xdr:col>43</xdr:col>
      <xdr:colOff>268941</xdr:colOff>
      <xdr:row>143</xdr:row>
      <xdr:rowOff>145677</xdr:rowOff>
    </xdr:to>
    <xdr:cxnSp macro="">
      <xdr:nvCxnSpPr>
        <xdr:cNvPr id="187" name="Straight Arrow Connector 41">
          <a:extLst>
            <a:ext uri="{FF2B5EF4-FFF2-40B4-BE49-F238E27FC236}">
              <a16:creationId xmlns:a16="http://schemas.microsoft.com/office/drawing/2014/main" id="{01838F9C-C04E-4FE9-B88E-1641AAB29969}"/>
            </a:ext>
          </a:extLst>
        </xdr:cNvPr>
        <xdr:cNvCxnSpPr>
          <a:cxnSpLocks noChangeShapeType="1"/>
        </xdr:cNvCxnSpPr>
      </xdr:nvCxnSpPr>
      <xdr:spPr bwMode="auto">
        <a:xfrm>
          <a:off x="8390179" y="25681250"/>
          <a:ext cx="4670837" cy="1724977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>
          <a:outerShdw blurRad="40000" dist="20000" dir="5400000" rotWithShape="0">
            <a:srgbClr val="808080">
              <a:alpha val="37999"/>
            </a:srgbClr>
          </a:outer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35</xdr:col>
      <xdr:colOff>71275</xdr:colOff>
      <xdr:row>137</xdr:row>
      <xdr:rowOff>87145</xdr:rowOff>
    </xdr:from>
    <xdr:ext cx="626390" cy="342786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58984092-6E8D-4AEE-AA7C-E9DFB0906A8C}"/>
            </a:ext>
          </a:extLst>
        </xdr:cNvPr>
        <xdr:cNvSpPr txBox="1"/>
      </xdr:nvSpPr>
      <xdr:spPr>
        <a:xfrm rot="1176530">
          <a:off x="11120275" y="24539181"/>
          <a:ext cx="626390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600" b="1"/>
            <a:t>G: 27</a:t>
          </a:r>
        </a:p>
      </xdr:txBody>
    </xdr:sp>
    <xdr:clientData/>
  </xdr:oneCellAnchor>
  <xdr:twoCellAnchor>
    <xdr:from>
      <xdr:col>26</xdr:col>
      <xdr:colOff>0</xdr:colOff>
      <xdr:row>137</xdr:row>
      <xdr:rowOff>27231</xdr:rowOff>
    </xdr:from>
    <xdr:to>
      <xdr:col>26</xdr:col>
      <xdr:colOff>21552</xdr:colOff>
      <xdr:row>143</xdr:row>
      <xdr:rowOff>89647</xdr:rowOff>
    </xdr:to>
    <xdr:cxnSp macro="">
      <xdr:nvCxnSpPr>
        <xdr:cNvPr id="189" name="Straight Arrow Connector 41">
          <a:extLst>
            <a:ext uri="{FF2B5EF4-FFF2-40B4-BE49-F238E27FC236}">
              <a16:creationId xmlns:a16="http://schemas.microsoft.com/office/drawing/2014/main" id="{915E546C-0BDD-4351-8E3B-B6CE95F4BCCA}"/>
            </a:ext>
          </a:extLst>
        </xdr:cNvPr>
        <xdr:cNvCxnSpPr>
          <a:cxnSpLocks noChangeShapeType="1"/>
        </xdr:cNvCxnSpPr>
      </xdr:nvCxnSpPr>
      <xdr:spPr bwMode="auto">
        <a:xfrm flipH="1">
          <a:off x="7772400" y="26144781"/>
          <a:ext cx="21552" cy="1205416"/>
        </a:xfrm>
        <a:prstGeom prst="straightConnector1">
          <a:avLst/>
        </a:prstGeom>
        <a:noFill/>
        <a:ln w="15875">
          <a:solidFill>
            <a:srgbClr val="000000"/>
          </a:solidFill>
          <a:prstDash val="sysDash"/>
          <a:round/>
          <a:headEnd/>
          <a:tailEnd type="triangle" w="med" len="med"/>
        </a:ln>
        <a:effectLst>
          <a:outerShdw blurRad="40000" dist="20000" dir="5400000" rotWithShape="0">
            <a:srgbClr val="808080">
              <a:alpha val="37999"/>
            </a:srgbClr>
          </a:outer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26</xdr:col>
      <xdr:colOff>8031</xdr:colOff>
      <xdr:row>148</xdr:row>
      <xdr:rowOff>89647</xdr:rowOff>
    </xdr:from>
    <xdr:to>
      <xdr:col>26</xdr:col>
      <xdr:colOff>22412</xdr:colOff>
      <xdr:row>154</xdr:row>
      <xdr:rowOff>160058</xdr:rowOff>
    </xdr:to>
    <xdr:cxnSp macro="">
      <xdr:nvCxnSpPr>
        <xdr:cNvPr id="190" name="Straight Arrow Connector 41">
          <a:extLst>
            <a:ext uri="{FF2B5EF4-FFF2-40B4-BE49-F238E27FC236}">
              <a16:creationId xmlns:a16="http://schemas.microsoft.com/office/drawing/2014/main" id="{3B00A910-34BF-4A94-8154-4613F22D81CB}"/>
            </a:ext>
          </a:extLst>
        </xdr:cNvPr>
        <xdr:cNvCxnSpPr>
          <a:cxnSpLocks noChangeShapeType="1"/>
        </xdr:cNvCxnSpPr>
      </xdr:nvCxnSpPr>
      <xdr:spPr bwMode="auto">
        <a:xfrm flipV="1">
          <a:off x="7780431" y="28302697"/>
          <a:ext cx="14381" cy="1213411"/>
        </a:xfrm>
        <a:prstGeom prst="straightConnector1">
          <a:avLst/>
        </a:prstGeom>
        <a:noFill/>
        <a:ln w="15875">
          <a:solidFill>
            <a:srgbClr val="FF0000"/>
          </a:solidFill>
          <a:prstDash val="sysDash"/>
          <a:round/>
          <a:headEnd/>
          <a:tailEnd type="triangle" w="med" len="med"/>
        </a:ln>
        <a:effectLst>
          <a:outerShdw blurRad="40000" dist="20000" dir="5400000" rotWithShape="0">
            <a:srgbClr val="808080">
              <a:alpha val="37999"/>
            </a:srgbClr>
          </a:outer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36</xdr:col>
      <xdr:colOff>0</xdr:colOff>
      <xdr:row>148</xdr:row>
      <xdr:rowOff>64060</xdr:rowOff>
    </xdr:from>
    <xdr:to>
      <xdr:col>36</xdr:col>
      <xdr:colOff>47999</xdr:colOff>
      <xdr:row>154</xdr:row>
      <xdr:rowOff>123265</xdr:rowOff>
    </xdr:to>
    <xdr:cxnSp macro="">
      <xdr:nvCxnSpPr>
        <xdr:cNvPr id="191" name="Straight Arrow Connector 41">
          <a:extLst>
            <a:ext uri="{FF2B5EF4-FFF2-40B4-BE49-F238E27FC236}">
              <a16:creationId xmlns:a16="http://schemas.microsoft.com/office/drawing/2014/main" id="{004EA8FF-5751-47C6-AC47-7B98B1652605}"/>
            </a:ext>
          </a:extLst>
        </xdr:cNvPr>
        <xdr:cNvCxnSpPr>
          <a:cxnSpLocks noChangeShapeType="1"/>
        </xdr:cNvCxnSpPr>
      </xdr:nvCxnSpPr>
      <xdr:spPr bwMode="auto">
        <a:xfrm flipH="1">
          <a:off x="10725150" y="28277110"/>
          <a:ext cx="47999" cy="1202205"/>
        </a:xfrm>
        <a:prstGeom prst="straightConnector1">
          <a:avLst/>
        </a:prstGeom>
        <a:noFill/>
        <a:ln w="15875">
          <a:solidFill>
            <a:srgbClr val="000000"/>
          </a:solidFill>
          <a:prstDash val="sysDash"/>
          <a:round/>
          <a:headEnd/>
          <a:tailEnd type="triangle" w="med" len="med"/>
        </a:ln>
        <a:effectLst>
          <a:outerShdw blurRad="40000" dist="20000" dir="5400000" rotWithShape="0">
            <a:srgbClr val="808080">
              <a:alpha val="37999"/>
            </a:srgbClr>
          </a:outer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23</xdr:col>
      <xdr:colOff>249213</xdr:colOff>
      <xdr:row>139</xdr:row>
      <xdr:rowOff>47978</xdr:rowOff>
    </xdr:from>
    <xdr:ext cx="512897" cy="342786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D1A5DEE5-B9F4-4746-B11A-BD80641109BC}"/>
            </a:ext>
          </a:extLst>
        </xdr:cNvPr>
        <xdr:cNvSpPr txBox="1"/>
      </xdr:nvSpPr>
      <xdr:spPr>
        <a:xfrm>
          <a:off x="7542642" y="24853799"/>
          <a:ext cx="512897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600" b="1"/>
            <a:t>α: 0</a:t>
          </a:r>
        </a:p>
      </xdr:txBody>
    </xdr:sp>
    <xdr:clientData/>
  </xdr:oneCellAnchor>
  <xdr:oneCellAnchor>
    <xdr:from>
      <xdr:col>26</xdr:col>
      <xdr:colOff>85185</xdr:colOff>
      <xdr:row>150</xdr:row>
      <xdr:rowOff>49970</xdr:rowOff>
    </xdr:from>
    <xdr:ext cx="503536" cy="342786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14BFF4A2-FF66-42FF-9A96-8D7D05F88F90}"/>
            </a:ext>
          </a:extLst>
        </xdr:cNvPr>
        <xdr:cNvSpPr txBox="1"/>
      </xdr:nvSpPr>
      <xdr:spPr>
        <a:xfrm>
          <a:off x="8317506" y="26801613"/>
          <a:ext cx="503536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600" b="1">
              <a:solidFill>
                <a:srgbClr val="FF0000"/>
              </a:solidFill>
            </a:rPr>
            <a:t>β: 0</a:t>
          </a:r>
        </a:p>
      </xdr:txBody>
    </xdr:sp>
    <xdr:clientData/>
  </xdr:oneCellAnchor>
  <xdr:twoCellAnchor>
    <xdr:from>
      <xdr:col>26</xdr:col>
      <xdr:colOff>9071</xdr:colOff>
      <xdr:row>63</xdr:row>
      <xdr:rowOff>36286</xdr:rowOff>
    </xdr:from>
    <xdr:to>
      <xdr:col>26</xdr:col>
      <xdr:colOff>18142</xdr:colOff>
      <xdr:row>69</xdr:row>
      <xdr:rowOff>136072</xdr:rowOff>
    </xdr:to>
    <xdr:cxnSp macro="">
      <xdr:nvCxnSpPr>
        <xdr:cNvPr id="207" name="Straight Arrow Connector 41">
          <a:extLst>
            <a:ext uri="{FF2B5EF4-FFF2-40B4-BE49-F238E27FC236}">
              <a16:creationId xmlns:a16="http://schemas.microsoft.com/office/drawing/2014/main" id="{AED248BA-1173-4C0D-8452-4E6A32651518}"/>
            </a:ext>
          </a:extLst>
        </xdr:cNvPr>
        <xdr:cNvCxnSpPr>
          <a:cxnSpLocks noChangeShapeType="1"/>
        </xdr:cNvCxnSpPr>
      </xdr:nvCxnSpPr>
      <xdr:spPr bwMode="auto">
        <a:xfrm>
          <a:off x="8128000" y="11593286"/>
          <a:ext cx="9071" cy="1188357"/>
        </a:xfrm>
        <a:prstGeom prst="straightConnector1">
          <a:avLst/>
        </a:prstGeom>
        <a:noFill/>
        <a:ln w="15875">
          <a:solidFill>
            <a:srgbClr val="000000"/>
          </a:solidFill>
          <a:prstDash val="sysDash"/>
          <a:round/>
          <a:headEnd/>
          <a:tailEnd type="triangle" w="med" len="med"/>
        </a:ln>
        <a:effectLst>
          <a:outerShdw blurRad="40000" dist="20000" dir="5400000" rotWithShape="0">
            <a:srgbClr val="808080">
              <a:alpha val="37999"/>
            </a:srgbClr>
          </a:outer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20</xdr:col>
      <xdr:colOff>163779</xdr:colOff>
      <xdr:row>32</xdr:row>
      <xdr:rowOff>50749</xdr:rowOff>
    </xdr:from>
    <xdr:ext cx="512897" cy="342786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49DC6492-535D-4E4C-A58B-5DF96F9FA751}"/>
            </a:ext>
          </a:extLst>
        </xdr:cNvPr>
        <xdr:cNvSpPr txBox="1"/>
      </xdr:nvSpPr>
      <xdr:spPr>
        <a:xfrm rot="-120000">
          <a:off x="6518315" y="5901820"/>
          <a:ext cx="512897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600" b="1"/>
            <a:t>α: 0</a:t>
          </a:r>
        </a:p>
      </xdr:txBody>
    </xdr:sp>
    <xdr:clientData/>
  </xdr:oneCellAnchor>
  <xdr:oneCellAnchor>
    <xdr:from>
      <xdr:col>22</xdr:col>
      <xdr:colOff>281921</xdr:colOff>
      <xdr:row>40</xdr:row>
      <xdr:rowOff>68516</xdr:rowOff>
    </xdr:from>
    <xdr:ext cx="503536" cy="342786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0974C948-99C1-4B9A-AF69-39F1BB517E28}"/>
            </a:ext>
          </a:extLst>
        </xdr:cNvPr>
        <xdr:cNvSpPr txBox="1"/>
      </xdr:nvSpPr>
      <xdr:spPr>
        <a:xfrm rot="-120000">
          <a:off x="7262385" y="7334730"/>
          <a:ext cx="503536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600" b="1"/>
            <a:t>β: 0</a:t>
          </a:r>
        </a:p>
      </xdr:txBody>
    </xdr:sp>
    <xdr:clientData/>
  </xdr:oneCellAnchor>
  <xdr:twoCellAnchor>
    <xdr:from>
      <xdr:col>22</xdr:col>
      <xdr:colOff>141162</xdr:colOff>
      <xdr:row>30</xdr:row>
      <xdr:rowOff>134432</xdr:rowOff>
    </xdr:from>
    <xdr:to>
      <xdr:col>22</xdr:col>
      <xdr:colOff>171268</xdr:colOff>
      <xdr:row>35</xdr:row>
      <xdr:rowOff>13046</xdr:rowOff>
    </xdr:to>
    <xdr:cxnSp macro="">
      <xdr:nvCxnSpPr>
        <xdr:cNvPr id="218" name="Straight Arrow Connector 41">
          <a:extLst>
            <a:ext uri="{FF2B5EF4-FFF2-40B4-BE49-F238E27FC236}">
              <a16:creationId xmlns:a16="http://schemas.microsoft.com/office/drawing/2014/main" id="{F3029DA5-E72B-4DC2-B23F-3774CC4563C7}"/>
            </a:ext>
          </a:extLst>
        </xdr:cNvPr>
        <xdr:cNvCxnSpPr>
          <a:cxnSpLocks noChangeShapeType="1"/>
          <a:stCxn id="105" idx="4"/>
          <a:endCxn id="107" idx="0"/>
        </xdr:cNvCxnSpPr>
      </xdr:nvCxnSpPr>
      <xdr:spPr bwMode="auto">
        <a:xfrm>
          <a:off x="7026376" y="5704289"/>
          <a:ext cx="30106" cy="785757"/>
        </a:xfrm>
        <a:prstGeom prst="straightConnector1">
          <a:avLst/>
        </a:prstGeom>
        <a:noFill/>
        <a:ln w="15875">
          <a:solidFill>
            <a:srgbClr val="000000"/>
          </a:solidFill>
          <a:prstDash val="sysDash"/>
          <a:round/>
          <a:headEnd/>
          <a:tailEnd type="triangle" w="med" len="med"/>
        </a:ln>
        <a:effectLst>
          <a:outerShdw blurRad="40000" dist="20000" dir="5400000" rotWithShape="0">
            <a:srgbClr val="808080">
              <a:alpha val="37999"/>
            </a:srgbClr>
          </a:outer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26</xdr:col>
      <xdr:colOff>250339</xdr:colOff>
      <xdr:row>39</xdr:row>
      <xdr:rowOff>140137</xdr:rowOff>
    </xdr:from>
    <xdr:ext cx="487506" cy="342786"/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CA7537D2-7359-4CAC-96DD-8BE4FB774171}"/>
            </a:ext>
          </a:extLst>
        </xdr:cNvPr>
        <xdr:cNvSpPr txBox="1"/>
      </xdr:nvSpPr>
      <xdr:spPr>
        <a:xfrm>
          <a:off x="8482660" y="7229458"/>
          <a:ext cx="487506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600" b="1"/>
            <a:t>γ: 0</a:t>
          </a:r>
        </a:p>
      </xdr:txBody>
    </xdr:sp>
    <xdr:clientData/>
  </xdr:oneCellAnchor>
  <xdr:twoCellAnchor>
    <xdr:from>
      <xdr:col>28</xdr:col>
      <xdr:colOff>95250</xdr:colOff>
      <xdr:row>60</xdr:row>
      <xdr:rowOff>148166</xdr:rowOff>
    </xdr:from>
    <xdr:to>
      <xdr:col>43</xdr:col>
      <xdr:colOff>243416</xdr:colOff>
      <xdr:row>69</xdr:row>
      <xdr:rowOff>137583</xdr:rowOff>
    </xdr:to>
    <xdr:cxnSp macro="">
      <xdr:nvCxnSpPr>
        <xdr:cNvPr id="260" name="Straight Arrow Connector 41">
          <a:extLst>
            <a:ext uri="{FF2B5EF4-FFF2-40B4-BE49-F238E27FC236}">
              <a16:creationId xmlns:a16="http://schemas.microsoft.com/office/drawing/2014/main" id="{19EA2095-E838-433C-A0FB-3DF276FCB53E}"/>
            </a:ext>
          </a:extLst>
        </xdr:cNvPr>
        <xdr:cNvCxnSpPr>
          <a:cxnSpLocks noChangeShapeType="1"/>
        </xdr:cNvCxnSpPr>
      </xdr:nvCxnSpPr>
      <xdr:spPr bwMode="auto">
        <a:xfrm>
          <a:off x="8784167" y="11091333"/>
          <a:ext cx="4751916" cy="1608667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>
          <a:outerShdw blurRad="40000" dist="20000" dir="5400000" rotWithShape="0">
            <a:srgbClr val="808080">
              <a:alpha val="37999"/>
            </a:srgbClr>
          </a:outer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33</xdr:col>
      <xdr:colOff>304465</xdr:colOff>
      <xdr:row>76</xdr:row>
      <xdr:rowOff>69581</xdr:rowOff>
    </xdr:from>
    <xdr:ext cx="487506" cy="342786"/>
    <xdr:sp macro="" textlink="">
      <xdr:nvSpPr>
        <xdr:cNvPr id="263" name="TextBox 262">
          <a:extLst>
            <a:ext uri="{FF2B5EF4-FFF2-40B4-BE49-F238E27FC236}">
              <a16:creationId xmlns:a16="http://schemas.microsoft.com/office/drawing/2014/main" id="{0D4BD169-88EE-4016-A3E2-53011348CD76}"/>
            </a:ext>
          </a:extLst>
        </xdr:cNvPr>
        <xdr:cNvSpPr txBox="1"/>
      </xdr:nvSpPr>
      <xdr:spPr>
        <a:xfrm>
          <a:off x="10727536" y="13703938"/>
          <a:ext cx="487506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600" b="1"/>
            <a:t>γ: 0</a:t>
          </a:r>
        </a:p>
      </xdr:txBody>
    </xdr:sp>
    <xdr:clientData/>
  </xdr:oneCellAnchor>
  <xdr:oneCellAnchor>
    <xdr:from>
      <xdr:col>33</xdr:col>
      <xdr:colOff>292220</xdr:colOff>
      <xdr:row>150</xdr:row>
      <xdr:rowOff>69730</xdr:rowOff>
    </xdr:from>
    <xdr:ext cx="487506" cy="342786"/>
    <xdr:sp macro="" textlink="">
      <xdr:nvSpPr>
        <xdr:cNvPr id="266" name="TextBox 265">
          <a:extLst>
            <a:ext uri="{FF2B5EF4-FFF2-40B4-BE49-F238E27FC236}">
              <a16:creationId xmlns:a16="http://schemas.microsoft.com/office/drawing/2014/main" id="{D6564EBC-CE59-4D3B-AE9B-1A3A4AFAF157}"/>
            </a:ext>
          </a:extLst>
        </xdr:cNvPr>
        <xdr:cNvSpPr txBox="1"/>
      </xdr:nvSpPr>
      <xdr:spPr>
        <a:xfrm>
          <a:off x="10715291" y="26821373"/>
          <a:ext cx="487506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600" b="1"/>
            <a:t>γ: 0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11198</xdr:colOff>
      <xdr:row>36</xdr:row>
      <xdr:rowOff>2988</xdr:rowOff>
    </xdr:from>
    <xdr:to>
      <xdr:col>25</xdr:col>
      <xdr:colOff>200063</xdr:colOff>
      <xdr:row>36</xdr:row>
      <xdr:rowOff>2988</xdr:rowOff>
    </xdr:to>
    <xdr:cxnSp macro="">
      <xdr:nvCxnSpPr>
        <xdr:cNvPr id="14" name="Straight Arrow Connector 41">
          <a:extLst>
            <a:ext uri="{FF2B5EF4-FFF2-40B4-BE49-F238E27FC236}">
              <a16:creationId xmlns:a16="http://schemas.microsoft.com/office/drawing/2014/main" id="{60D3A109-6299-4738-9559-B52A6A71E3F2}"/>
            </a:ext>
          </a:extLst>
        </xdr:cNvPr>
        <xdr:cNvCxnSpPr>
          <a:cxnSpLocks noChangeShapeType="1"/>
        </xdr:cNvCxnSpPr>
      </xdr:nvCxnSpPr>
      <xdr:spPr bwMode="auto">
        <a:xfrm>
          <a:off x="907669" y="6076576"/>
          <a:ext cx="4542350" cy="0"/>
        </a:xfrm>
        <a:prstGeom prst="straightConnector1">
          <a:avLst/>
        </a:prstGeom>
        <a:noFill/>
        <a:ln w="19050">
          <a:solidFill>
            <a:schemeClr val="accent1"/>
          </a:solidFill>
          <a:round/>
          <a:headEnd/>
          <a:tailEnd type="triangle" w="med" len="med"/>
        </a:ln>
        <a:effectLst>
          <a:outerShdw blurRad="40000" dist="20000" dir="5400000" rotWithShape="0">
            <a:srgbClr val="808080">
              <a:alpha val="37999"/>
            </a:srgbClr>
          </a:outer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14</xdr:col>
      <xdr:colOff>20161</xdr:colOff>
      <xdr:row>34</xdr:row>
      <xdr:rowOff>26069</xdr:rowOff>
    </xdr:from>
    <xdr:ext cx="619978" cy="342786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EE12295-C22E-4A34-A50C-1DD1C35D9778}"/>
            </a:ext>
          </a:extLst>
        </xdr:cNvPr>
        <xdr:cNvSpPr txBox="1"/>
      </xdr:nvSpPr>
      <xdr:spPr>
        <a:xfrm>
          <a:off x="3046994" y="6291402"/>
          <a:ext cx="619978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600" b="1">
              <a:solidFill>
                <a:schemeClr val="accent1"/>
              </a:solidFill>
            </a:rPr>
            <a:t>A: 22</a:t>
          </a:r>
        </a:p>
      </xdr:txBody>
    </xdr:sp>
    <xdr:clientData/>
  </xdr:oneCellAnchor>
  <xdr:twoCellAnchor>
    <xdr:from>
      <xdr:col>4</xdr:col>
      <xdr:colOff>17927</xdr:colOff>
      <xdr:row>35</xdr:row>
      <xdr:rowOff>174810</xdr:rowOff>
    </xdr:from>
    <xdr:to>
      <xdr:col>4</xdr:col>
      <xdr:colOff>17927</xdr:colOff>
      <xdr:row>58</xdr:row>
      <xdr:rowOff>5310</xdr:rowOff>
    </xdr:to>
    <xdr:cxnSp macro="">
      <xdr:nvCxnSpPr>
        <xdr:cNvPr id="224" name="Straight Arrow Connector 41">
          <a:extLst>
            <a:ext uri="{FF2B5EF4-FFF2-40B4-BE49-F238E27FC236}">
              <a16:creationId xmlns:a16="http://schemas.microsoft.com/office/drawing/2014/main" id="{19317D85-020D-43DC-9C04-DBD0E374ACF6}"/>
            </a:ext>
          </a:extLst>
        </xdr:cNvPr>
        <xdr:cNvCxnSpPr>
          <a:cxnSpLocks noChangeShapeType="1"/>
        </xdr:cNvCxnSpPr>
      </xdr:nvCxnSpPr>
      <xdr:spPr bwMode="auto">
        <a:xfrm>
          <a:off x="891986" y="5889810"/>
          <a:ext cx="0" cy="4212000"/>
        </a:xfrm>
        <a:prstGeom prst="straightConnector1">
          <a:avLst/>
        </a:prstGeom>
        <a:noFill/>
        <a:ln w="19050">
          <a:solidFill>
            <a:schemeClr val="accent1"/>
          </a:solidFill>
          <a:round/>
          <a:headEnd/>
          <a:tailEnd type="none" w="med" len="med"/>
        </a:ln>
        <a:effectLst>
          <a:outerShdw blurRad="40000" dist="20000" dir="5400000" rotWithShape="0">
            <a:srgbClr val="808080">
              <a:alpha val="37999"/>
            </a:srgbClr>
          </a:outer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26</xdr:col>
      <xdr:colOff>27995</xdr:colOff>
      <xdr:row>36</xdr:row>
      <xdr:rowOff>2614</xdr:rowOff>
    </xdr:from>
    <xdr:to>
      <xdr:col>32</xdr:col>
      <xdr:colOff>188142</xdr:colOff>
      <xdr:row>36</xdr:row>
      <xdr:rowOff>2614</xdr:rowOff>
    </xdr:to>
    <xdr:cxnSp macro="">
      <xdr:nvCxnSpPr>
        <xdr:cNvPr id="226" name="Straight Arrow Connector 41">
          <a:extLst>
            <a:ext uri="{FF2B5EF4-FFF2-40B4-BE49-F238E27FC236}">
              <a16:creationId xmlns:a16="http://schemas.microsoft.com/office/drawing/2014/main" id="{99DFD738-79D9-41F7-B119-E6BE69CA3CAC}"/>
            </a:ext>
          </a:extLst>
        </xdr:cNvPr>
        <xdr:cNvCxnSpPr>
          <a:cxnSpLocks noChangeShapeType="1"/>
        </xdr:cNvCxnSpPr>
      </xdr:nvCxnSpPr>
      <xdr:spPr bwMode="auto">
        <a:xfrm>
          <a:off x="5485260" y="6076202"/>
          <a:ext cx="1404000" cy="0"/>
        </a:xfrm>
        <a:prstGeom prst="straightConnector1">
          <a:avLst/>
        </a:prstGeom>
        <a:noFill/>
        <a:ln w="19050">
          <a:solidFill>
            <a:schemeClr val="accent1"/>
          </a:solidFill>
          <a:round/>
          <a:headEnd w="med" len="med"/>
          <a:tailEnd type="triangle" w="med" len="med"/>
        </a:ln>
        <a:effectLst>
          <a:outerShdw blurRad="40000" dist="20000" dir="5400000" rotWithShape="0">
            <a:srgbClr val="808080">
              <a:alpha val="37999"/>
            </a:srgbClr>
          </a:outer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34</xdr:col>
      <xdr:colOff>155011</xdr:colOff>
      <xdr:row>39</xdr:row>
      <xdr:rowOff>178221</xdr:rowOff>
    </xdr:from>
    <xdr:ext cx="305918" cy="342786"/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id="{0F8E94D9-E492-4536-AFAB-41D9E810AEAE}"/>
            </a:ext>
          </a:extLst>
        </xdr:cNvPr>
        <xdr:cNvSpPr txBox="1"/>
      </xdr:nvSpPr>
      <xdr:spPr>
        <a:xfrm>
          <a:off x="7415178" y="6803388"/>
          <a:ext cx="305918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600" b="1">
              <a:solidFill>
                <a:srgbClr val="00B050"/>
              </a:solidFill>
            </a:rPr>
            <a:t>α</a:t>
          </a:r>
        </a:p>
      </xdr:txBody>
    </xdr:sp>
    <xdr:clientData/>
  </xdr:oneCellAnchor>
  <xdr:twoCellAnchor>
    <xdr:from>
      <xdr:col>33</xdr:col>
      <xdr:colOff>6529</xdr:colOff>
      <xdr:row>35</xdr:row>
      <xdr:rowOff>143433</xdr:rowOff>
    </xdr:from>
    <xdr:to>
      <xdr:col>50</xdr:col>
      <xdr:colOff>10279</xdr:colOff>
      <xdr:row>35</xdr:row>
      <xdr:rowOff>143433</xdr:rowOff>
    </xdr:to>
    <xdr:cxnSp macro="">
      <xdr:nvCxnSpPr>
        <xdr:cNvPr id="232" name="Straight Arrow Connector 41">
          <a:extLst>
            <a:ext uri="{FF2B5EF4-FFF2-40B4-BE49-F238E27FC236}">
              <a16:creationId xmlns:a16="http://schemas.microsoft.com/office/drawing/2014/main" id="{07E7258B-FBB0-4798-86C8-F5AAB521CDFE}"/>
            </a:ext>
          </a:extLst>
        </xdr:cNvPr>
        <xdr:cNvCxnSpPr>
          <a:cxnSpLocks noChangeShapeType="1"/>
        </xdr:cNvCxnSpPr>
      </xdr:nvCxnSpPr>
      <xdr:spPr bwMode="auto">
        <a:xfrm>
          <a:off x="6914955" y="6037727"/>
          <a:ext cx="3528000" cy="0"/>
        </a:xfrm>
        <a:prstGeom prst="straightConnector1">
          <a:avLst/>
        </a:prstGeom>
        <a:noFill/>
        <a:ln w="19050">
          <a:solidFill>
            <a:schemeClr val="accent1"/>
          </a:solidFill>
          <a:round/>
          <a:headEnd/>
          <a:tailEnd type="triangle" w="med" len="med"/>
        </a:ln>
        <a:effectLst>
          <a:outerShdw blurRad="40000" dist="20000" dir="5400000" rotWithShape="0">
            <a:srgbClr val="808080">
              <a:alpha val="37999"/>
            </a:srgbClr>
          </a:outer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45</xdr:col>
      <xdr:colOff>160982</xdr:colOff>
      <xdr:row>35</xdr:row>
      <xdr:rowOff>145968</xdr:rowOff>
    </xdr:from>
    <xdr:ext cx="625108" cy="342786"/>
    <xdr:sp macro="" textlink="">
      <xdr:nvSpPr>
        <xdr:cNvPr id="233" name="TextBox 232">
          <a:extLst>
            <a:ext uri="{FF2B5EF4-FFF2-40B4-BE49-F238E27FC236}">
              <a16:creationId xmlns:a16="http://schemas.microsoft.com/office/drawing/2014/main" id="{CF49C19B-2AC7-4C3C-86D8-EA97F55B9A08}"/>
            </a:ext>
          </a:extLst>
        </xdr:cNvPr>
        <xdr:cNvSpPr txBox="1"/>
      </xdr:nvSpPr>
      <xdr:spPr>
        <a:xfrm>
          <a:off x="9749482" y="6591218"/>
          <a:ext cx="625108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600" b="1">
              <a:solidFill>
                <a:schemeClr val="accent1"/>
              </a:solidFill>
            </a:rPr>
            <a:t>H: 17</a:t>
          </a:r>
        </a:p>
      </xdr:txBody>
    </xdr:sp>
    <xdr:clientData/>
  </xdr:oneCellAnchor>
  <xdr:twoCellAnchor>
    <xdr:from>
      <xdr:col>61</xdr:col>
      <xdr:colOff>189565</xdr:colOff>
      <xdr:row>35</xdr:row>
      <xdr:rowOff>142311</xdr:rowOff>
    </xdr:from>
    <xdr:to>
      <xdr:col>61</xdr:col>
      <xdr:colOff>189565</xdr:colOff>
      <xdr:row>58</xdr:row>
      <xdr:rowOff>14546</xdr:rowOff>
    </xdr:to>
    <xdr:cxnSp macro="">
      <xdr:nvCxnSpPr>
        <xdr:cNvPr id="234" name="Straight Arrow Connector 41">
          <a:extLst>
            <a:ext uri="{FF2B5EF4-FFF2-40B4-BE49-F238E27FC236}">
              <a16:creationId xmlns:a16="http://schemas.microsoft.com/office/drawing/2014/main" id="{59F2DF65-A062-4A44-92D2-CE00C056BDD1}"/>
            </a:ext>
          </a:extLst>
        </xdr:cNvPr>
        <xdr:cNvCxnSpPr>
          <a:cxnSpLocks noChangeShapeType="1"/>
        </xdr:cNvCxnSpPr>
      </xdr:nvCxnSpPr>
      <xdr:spPr bwMode="auto">
        <a:xfrm>
          <a:off x="12902639" y="6036605"/>
          <a:ext cx="0" cy="3996000"/>
        </a:xfrm>
        <a:prstGeom prst="straightConnector1">
          <a:avLst/>
        </a:prstGeom>
        <a:noFill/>
        <a:ln w="12700">
          <a:solidFill>
            <a:schemeClr val="accent1"/>
          </a:solidFill>
          <a:prstDash val="lgDash"/>
          <a:round/>
          <a:headEnd/>
          <a:tailEnd type="none" w="med" len="med"/>
        </a:ln>
        <a:effectLst>
          <a:outerShdw blurRad="40000" dist="20000" dir="5400000" rotWithShape="0">
            <a:srgbClr val="808080">
              <a:alpha val="37999"/>
            </a:srgbClr>
          </a:outer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33</xdr:col>
      <xdr:colOff>9141</xdr:colOff>
      <xdr:row>35</xdr:row>
      <xdr:rowOff>93380</xdr:rowOff>
    </xdr:from>
    <xdr:to>
      <xdr:col>59</xdr:col>
      <xdr:colOff>199111</xdr:colOff>
      <xdr:row>35</xdr:row>
      <xdr:rowOff>93380</xdr:rowOff>
    </xdr:to>
    <xdr:cxnSp macro="">
      <xdr:nvCxnSpPr>
        <xdr:cNvPr id="237" name="Straight Arrow Connector 41">
          <a:extLst>
            <a:ext uri="{FF2B5EF4-FFF2-40B4-BE49-F238E27FC236}">
              <a16:creationId xmlns:a16="http://schemas.microsoft.com/office/drawing/2014/main" id="{14C3DE41-114C-43F2-807A-B39053D26E0C}"/>
            </a:ext>
          </a:extLst>
        </xdr:cNvPr>
        <xdr:cNvCxnSpPr>
          <a:cxnSpLocks noChangeShapeType="1"/>
        </xdr:cNvCxnSpPr>
      </xdr:nvCxnSpPr>
      <xdr:spPr bwMode="auto">
        <a:xfrm>
          <a:off x="6917567" y="5987674"/>
          <a:ext cx="5580000" cy="0"/>
        </a:xfrm>
        <a:prstGeom prst="straightConnector1">
          <a:avLst/>
        </a:prstGeom>
        <a:noFill/>
        <a:ln w="19050">
          <a:solidFill>
            <a:schemeClr val="accent1"/>
          </a:solidFill>
          <a:round/>
          <a:headEnd/>
          <a:tailEnd type="triangle" w="med" len="med"/>
        </a:ln>
        <a:effectLst>
          <a:outerShdw blurRad="40000" dist="20000" dir="5400000" rotWithShape="0">
            <a:srgbClr val="808080">
              <a:alpha val="37999"/>
            </a:srgbClr>
          </a:outer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55</xdr:col>
      <xdr:colOff>86089</xdr:colOff>
      <xdr:row>33</xdr:row>
      <xdr:rowOff>106565</xdr:rowOff>
    </xdr:from>
    <xdr:ext cx="626390" cy="342786"/>
    <xdr:sp macro="" textlink="">
      <xdr:nvSpPr>
        <xdr:cNvPr id="238" name="TextBox 237">
          <a:extLst>
            <a:ext uri="{FF2B5EF4-FFF2-40B4-BE49-F238E27FC236}">
              <a16:creationId xmlns:a16="http://schemas.microsoft.com/office/drawing/2014/main" id="{EF0C8A59-867B-47D5-A24A-2F2E6B1C9D1E}"/>
            </a:ext>
          </a:extLst>
        </xdr:cNvPr>
        <xdr:cNvSpPr txBox="1"/>
      </xdr:nvSpPr>
      <xdr:spPr>
        <a:xfrm>
          <a:off x="11791256" y="6191982"/>
          <a:ext cx="626390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600" b="1">
              <a:solidFill>
                <a:schemeClr val="accent1"/>
              </a:solidFill>
            </a:rPr>
            <a:t>G: 27</a:t>
          </a:r>
        </a:p>
      </xdr:txBody>
    </xdr:sp>
    <xdr:clientData/>
  </xdr:oneCellAnchor>
  <xdr:twoCellAnchor>
    <xdr:from>
      <xdr:col>50</xdr:col>
      <xdr:colOff>19986</xdr:colOff>
      <xdr:row>35</xdr:row>
      <xdr:rowOff>139884</xdr:rowOff>
    </xdr:from>
    <xdr:to>
      <xdr:col>61</xdr:col>
      <xdr:colOff>153921</xdr:colOff>
      <xdr:row>35</xdr:row>
      <xdr:rowOff>139884</xdr:rowOff>
    </xdr:to>
    <xdr:cxnSp macro="">
      <xdr:nvCxnSpPr>
        <xdr:cNvPr id="241" name="Straight Arrow Connector 41">
          <a:extLst>
            <a:ext uri="{FF2B5EF4-FFF2-40B4-BE49-F238E27FC236}">
              <a16:creationId xmlns:a16="http://schemas.microsoft.com/office/drawing/2014/main" id="{4933B25D-ACD5-47A0-9BD0-142D506A715B}"/>
            </a:ext>
          </a:extLst>
        </xdr:cNvPr>
        <xdr:cNvCxnSpPr>
          <a:cxnSpLocks noChangeShapeType="1"/>
        </xdr:cNvCxnSpPr>
      </xdr:nvCxnSpPr>
      <xdr:spPr bwMode="auto">
        <a:xfrm flipV="1">
          <a:off x="10452662" y="6034178"/>
          <a:ext cx="2414333" cy="0"/>
        </a:xfrm>
        <a:prstGeom prst="straightConnector1">
          <a:avLst/>
        </a:prstGeom>
        <a:noFill/>
        <a:ln w="12700">
          <a:solidFill>
            <a:schemeClr val="accent1"/>
          </a:solidFill>
          <a:prstDash val="lgDash"/>
          <a:round/>
          <a:headEnd/>
          <a:tailEnd type="none" w="med" len="med"/>
        </a:ln>
        <a:effectLst>
          <a:outerShdw blurRad="40000" dist="20000" dir="5400000" rotWithShape="0">
            <a:srgbClr val="808080">
              <a:alpha val="37999"/>
            </a:srgbClr>
          </a:outer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60</xdr:col>
      <xdr:colOff>12323</xdr:colOff>
      <xdr:row>35</xdr:row>
      <xdr:rowOff>105894</xdr:rowOff>
    </xdr:from>
    <xdr:to>
      <xdr:col>87</xdr:col>
      <xdr:colOff>174985</xdr:colOff>
      <xdr:row>35</xdr:row>
      <xdr:rowOff>105894</xdr:rowOff>
    </xdr:to>
    <xdr:cxnSp macro="">
      <xdr:nvCxnSpPr>
        <xdr:cNvPr id="250" name="Straight Arrow Connector 41">
          <a:extLst>
            <a:ext uri="{FF2B5EF4-FFF2-40B4-BE49-F238E27FC236}">
              <a16:creationId xmlns:a16="http://schemas.microsoft.com/office/drawing/2014/main" id="{EE0B57E6-2683-4853-B461-A2A593B38094}"/>
            </a:ext>
          </a:extLst>
        </xdr:cNvPr>
        <xdr:cNvCxnSpPr>
          <a:cxnSpLocks noChangeShapeType="1"/>
        </xdr:cNvCxnSpPr>
      </xdr:nvCxnSpPr>
      <xdr:spPr bwMode="auto">
        <a:xfrm flipV="1">
          <a:off x="12518088" y="6000188"/>
          <a:ext cx="5760000" cy="0"/>
        </a:xfrm>
        <a:prstGeom prst="straightConnector1">
          <a:avLst/>
        </a:prstGeom>
        <a:noFill/>
        <a:ln w="12700">
          <a:solidFill>
            <a:schemeClr val="accent1"/>
          </a:solidFill>
          <a:prstDash val="lgDash"/>
          <a:round/>
          <a:headEnd/>
          <a:tailEnd type="none" w="med" len="med"/>
        </a:ln>
        <a:effectLst>
          <a:outerShdw blurRad="40000" dist="20000" dir="5400000" rotWithShape="0">
            <a:srgbClr val="808080">
              <a:alpha val="37999"/>
            </a:srgbClr>
          </a:outer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87</xdr:col>
      <xdr:colOff>177056</xdr:colOff>
      <xdr:row>35</xdr:row>
      <xdr:rowOff>154638</xdr:rowOff>
    </xdr:from>
    <xdr:to>
      <xdr:col>87</xdr:col>
      <xdr:colOff>177056</xdr:colOff>
      <xdr:row>57</xdr:row>
      <xdr:rowOff>175638</xdr:rowOff>
    </xdr:to>
    <xdr:cxnSp macro="">
      <xdr:nvCxnSpPr>
        <xdr:cNvPr id="253" name="Straight Arrow Connector 41">
          <a:extLst>
            <a:ext uri="{FF2B5EF4-FFF2-40B4-BE49-F238E27FC236}">
              <a16:creationId xmlns:a16="http://schemas.microsoft.com/office/drawing/2014/main" id="{26EFAA15-F17B-401B-8B23-F5A0CAF82797}"/>
            </a:ext>
          </a:extLst>
        </xdr:cNvPr>
        <xdr:cNvCxnSpPr>
          <a:cxnSpLocks noChangeShapeType="1"/>
        </xdr:cNvCxnSpPr>
      </xdr:nvCxnSpPr>
      <xdr:spPr bwMode="auto">
        <a:xfrm>
          <a:off x="17792703" y="5869638"/>
          <a:ext cx="0" cy="4212000"/>
        </a:xfrm>
        <a:prstGeom prst="straightConnector1">
          <a:avLst/>
        </a:prstGeom>
        <a:noFill/>
        <a:ln w="12700">
          <a:solidFill>
            <a:schemeClr val="accent1"/>
          </a:solidFill>
          <a:prstDash val="lgDash"/>
          <a:round/>
          <a:headEnd/>
          <a:tailEnd type="none" w="med" len="med"/>
        </a:ln>
        <a:effectLst>
          <a:outerShdw blurRad="40000" dist="20000" dir="5400000" rotWithShape="0">
            <a:srgbClr val="808080">
              <a:alpha val="37999"/>
            </a:srgbClr>
          </a:outer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47000</xdr:colOff>
      <xdr:row>45</xdr:row>
      <xdr:rowOff>126984</xdr:rowOff>
    </xdr:from>
    <xdr:to>
      <xdr:col>4</xdr:col>
      <xdr:colOff>47000</xdr:colOff>
      <xdr:row>57</xdr:row>
      <xdr:rowOff>171454</xdr:rowOff>
    </xdr:to>
    <xdr:cxnSp macro="">
      <xdr:nvCxnSpPr>
        <xdr:cNvPr id="256" name="Straight Arrow Connector 41">
          <a:extLst>
            <a:ext uri="{FF2B5EF4-FFF2-40B4-BE49-F238E27FC236}">
              <a16:creationId xmlns:a16="http://schemas.microsoft.com/office/drawing/2014/main" id="{F7E5C70D-D4A7-4AAF-8E38-CCBAB8C66C32}"/>
            </a:ext>
          </a:extLst>
        </xdr:cNvPr>
        <xdr:cNvCxnSpPr>
          <a:cxnSpLocks noChangeShapeType="1"/>
        </xdr:cNvCxnSpPr>
      </xdr:nvCxnSpPr>
      <xdr:spPr bwMode="auto">
        <a:xfrm flipH="1" flipV="1">
          <a:off x="943471" y="7814219"/>
          <a:ext cx="0" cy="2196000"/>
        </a:xfrm>
        <a:prstGeom prst="straightConnector1">
          <a:avLst/>
        </a:prstGeom>
        <a:noFill/>
        <a:ln w="19050">
          <a:solidFill>
            <a:schemeClr val="accent1"/>
          </a:solidFill>
          <a:round/>
          <a:headEnd/>
          <a:tailEnd type="none" w="med" len="med"/>
        </a:ln>
        <a:effectLst>
          <a:outerShdw blurRad="40000" dist="20000" dir="5400000" rotWithShape="0">
            <a:srgbClr val="808080">
              <a:alpha val="37999"/>
            </a:srgbClr>
          </a:outer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3</xdr:col>
      <xdr:colOff>163040</xdr:colOff>
      <xdr:row>43</xdr:row>
      <xdr:rowOff>140181</xdr:rowOff>
    </xdr:from>
    <xdr:ext cx="500265" cy="342786"/>
    <xdr:sp macro="" textlink="">
      <xdr:nvSpPr>
        <xdr:cNvPr id="261" name="TextBox 260">
          <a:extLst>
            <a:ext uri="{FF2B5EF4-FFF2-40B4-BE49-F238E27FC236}">
              <a16:creationId xmlns:a16="http://schemas.microsoft.com/office/drawing/2014/main" id="{E87F4554-9746-469F-A84E-8C137B395975}"/>
            </a:ext>
          </a:extLst>
        </xdr:cNvPr>
        <xdr:cNvSpPr txBox="1"/>
      </xdr:nvSpPr>
      <xdr:spPr>
        <a:xfrm>
          <a:off x="861540" y="8024764"/>
          <a:ext cx="50026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600" b="1">
              <a:solidFill>
                <a:schemeClr val="accent1"/>
              </a:solidFill>
            </a:rPr>
            <a:t>C: 2</a:t>
          </a:r>
        </a:p>
      </xdr:txBody>
    </xdr:sp>
    <xdr:clientData/>
  </xdr:oneCellAnchor>
  <xdr:oneCellAnchor>
    <xdr:from>
      <xdr:col>7</xdr:col>
      <xdr:colOff>21657</xdr:colOff>
      <xdr:row>43</xdr:row>
      <xdr:rowOff>145223</xdr:rowOff>
    </xdr:from>
    <xdr:ext cx="485839" cy="342786"/>
    <xdr:sp macro="" textlink="">
      <xdr:nvSpPr>
        <xdr:cNvPr id="263" name="TextBox 262">
          <a:extLst>
            <a:ext uri="{FF2B5EF4-FFF2-40B4-BE49-F238E27FC236}">
              <a16:creationId xmlns:a16="http://schemas.microsoft.com/office/drawing/2014/main" id="{03373531-891E-4C36-BD50-EF063DFAE91B}"/>
            </a:ext>
          </a:extLst>
        </xdr:cNvPr>
        <xdr:cNvSpPr txBox="1"/>
      </xdr:nvSpPr>
      <xdr:spPr>
        <a:xfrm>
          <a:off x="1566824" y="8029806"/>
          <a:ext cx="485839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600" b="1">
              <a:solidFill>
                <a:schemeClr val="accent1"/>
              </a:solidFill>
            </a:rPr>
            <a:t>F: 4</a:t>
          </a:r>
        </a:p>
      </xdr:txBody>
    </xdr:sp>
    <xdr:clientData/>
  </xdr:oneCellAnchor>
  <xdr:twoCellAnchor>
    <xdr:from>
      <xdr:col>6</xdr:col>
      <xdr:colOff>6722</xdr:colOff>
      <xdr:row>45</xdr:row>
      <xdr:rowOff>129989</xdr:rowOff>
    </xdr:from>
    <xdr:to>
      <xdr:col>9</xdr:col>
      <xdr:colOff>193605</xdr:colOff>
      <xdr:row>45</xdr:row>
      <xdr:rowOff>129989</xdr:rowOff>
    </xdr:to>
    <xdr:cxnSp macro="">
      <xdr:nvCxnSpPr>
        <xdr:cNvPr id="264" name="Straight Arrow Connector 41">
          <a:extLst>
            <a:ext uri="{FF2B5EF4-FFF2-40B4-BE49-F238E27FC236}">
              <a16:creationId xmlns:a16="http://schemas.microsoft.com/office/drawing/2014/main" id="{16BED893-2808-4E55-A4B1-00C86A9FCDBF}"/>
            </a:ext>
          </a:extLst>
        </xdr:cNvPr>
        <xdr:cNvCxnSpPr>
          <a:cxnSpLocks noChangeShapeType="1"/>
        </xdr:cNvCxnSpPr>
      </xdr:nvCxnSpPr>
      <xdr:spPr bwMode="auto">
        <a:xfrm>
          <a:off x="1284193" y="8130989"/>
          <a:ext cx="792000" cy="0"/>
        </a:xfrm>
        <a:prstGeom prst="straightConnector1">
          <a:avLst/>
        </a:prstGeom>
        <a:noFill/>
        <a:ln w="19050">
          <a:solidFill>
            <a:schemeClr val="accent1"/>
          </a:solidFill>
          <a:round/>
          <a:headEnd/>
          <a:tailEnd type="triangle" w="med" len="med"/>
        </a:ln>
        <a:effectLst>
          <a:outerShdw blurRad="40000" dist="20000" dir="5400000" rotWithShape="0">
            <a:srgbClr val="808080">
              <a:alpha val="37999"/>
            </a:srgbClr>
          </a:outer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8954</xdr:colOff>
      <xdr:row>45</xdr:row>
      <xdr:rowOff>121205</xdr:rowOff>
    </xdr:from>
    <xdr:to>
      <xdr:col>34</xdr:col>
      <xdr:colOff>181543</xdr:colOff>
      <xdr:row>45</xdr:row>
      <xdr:rowOff>121205</xdr:rowOff>
    </xdr:to>
    <xdr:cxnSp macro="">
      <xdr:nvCxnSpPr>
        <xdr:cNvPr id="266" name="Straight Arrow Connector 41">
          <a:extLst>
            <a:ext uri="{FF2B5EF4-FFF2-40B4-BE49-F238E27FC236}">
              <a16:creationId xmlns:a16="http://schemas.microsoft.com/office/drawing/2014/main" id="{8292ABD8-FBCF-4B21-A976-792FC89C852F}"/>
            </a:ext>
          </a:extLst>
        </xdr:cNvPr>
        <xdr:cNvCxnSpPr>
          <a:cxnSpLocks noChangeShapeType="1"/>
        </xdr:cNvCxnSpPr>
      </xdr:nvCxnSpPr>
      <xdr:spPr bwMode="auto">
        <a:xfrm flipV="1">
          <a:off x="2149278" y="7808440"/>
          <a:ext cx="5148000" cy="0"/>
        </a:xfrm>
        <a:prstGeom prst="straightConnector1">
          <a:avLst/>
        </a:prstGeom>
        <a:noFill/>
        <a:ln w="12700">
          <a:solidFill>
            <a:schemeClr val="accent1"/>
          </a:solidFill>
          <a:prstDash val="lgDash"/>
          <a:round/>
          <a:headEnd/>
          <a:tailEnd type="none" w="med" len="med"/>
        </a:ln>
        <a:effectLst>
          <a:outerShdw blurRad="40000" dist="20000" dir="5400000" rotWithShape="0">
            <a:srgbClr val="808080">
              <a:alpha val="37999"/>
            </a:srgbClr>
          </a:outer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34</xdr:col>
      <xdr:colOff>183402</xdr:colOff>
      <xdr:row>36</xdr:row>
      <xdr:rowOff>6695</xdr:rowOff>
    </xdr:from>
    <xdr:to>
      <xdr:col>34</xdr:col>
      <xdr:colOff>183402</xdr:colOff>
      <xdr:row>57</xdr:row>
      <xdr:rowOff>165518</xdr:rowOff>
    </xdr:to>
    <xdr:cxnSp macro="">
      <xdr:nvCxnSpPr>
        <xdr:cNvPr id="267" name="Straight Arrow Connector 41">
          <a:extLst>
            <a:ext uri="{FF2B5EF4-FFF2-40B4-BE49-F238E27FC236}">
              <a16:creationId xmlns:a16="http://schemas.microsoft.com/office/drawing/2014/main" id="{5EDF3C12-BDC5-4F40-95C1-B4F8C59D0D7E}"/>
            </a:ext>
          </a:extLst>
        </xdr:cNvPr>
        <xdr:cNvCxnSpPr>
          <a:cxnSpLocks noChangeShapeType="1"/>
        </xdr:cNvCxnSpPr>
      </xdr:nvCxnSpPr>
      <xdr:spPr bwMode="auto">
        <a:xfrm>
          <a:off x="7299137" y="6080283"/>
          <a:ext cx="0" cy="3924000"/>
        </a:xfrm>
        <a:prstGeom prst="straightConnector1">
          <a:avLst/>
        </a:prstGeom>
        <a:noFill/>
        <a:ln w="25400">
          <a:solidFill>
            <a:srgbClr val="00B050"/>
          </a:solidFill>
          <a:prstDash val="sysDash"/>
          <a:round/>
          <a:headEnd/>
          <a:tailEnd type="none" w="med" len="med"/>
        </a:ln>
        <a:effectLst>
          <a:outerShdw blurRad="40000" dist="20000" dir="5400000" rotWithShape="0">
            <a:srgbClr val="808080">
              <a:alpha val="37999"/>
            </a:srgbClr>
          </a:outer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35</xdr:col>
      <xdr:colOff>47063</xdr:colOff>
      <xdr:row>48</xdr:row>
      <xdr:rowOff>2239</xdr:rowOff>
    </xdr:from>
    <xdr:to>
      <xdr:col>35</xdr:col>
      <xdr:colOff>47063</xdr:colOff>
      <xdr:row>57</xdr:row>
      <xdr:rowOff>159739</xdr:rowOff>
    </xdr:to>
    <xdr:cxnSp macro="">
      <xdr:nvCxnSpPr>
        <xdr:cNvPr id="268" name="Straight Arrow Connector 41">
          <a:extLst>
            <a:ext uri="{FF2B5EF4-FFF2-40B4-BE49-F238E27FC236}">
              <a16:creationId xmlns:a16="http://schemas.microsoft.com/office/drawing/2014/main" id="{2B6FE3CB-7520-4731-83DA-0932B8BB0954}"/>
            </a:ext>
          </a:extLst>
        </xdr:cNvPr>
        <xdr:cNvCxnSpPr>
          <a:cxnSpLocks noChangeShapeType="1"/>
        </xdr:cNvCxnSpPr>
      </xdr:nvCxnSpPr>
      <xdr:spPr bwMode="auto">
        <a:xfrm>
          <a:off x="7174004" y="8193739"/>
          <a:ext cx="0" cy="1872000"/>
        </a:xfrm>
        <a:prstGeom prst="straightConnector1">
          <a:avLst/>
        </a:prstGeom>
        <a:noFill/>
        <a:ln w="19050">
          <a:solidFill>
            <a:schemeClr val="accent1"/>
          </a:solidFill>
          <a:round/>
          <a:headEnd/>
          <a:tailEnd type="none" w="med" len="med"/>
        </a:ln>
        <a:effectLst>
          <a:outerShdw blurRad="40000" dist="20000" dir="5400000" rotWithShape="0">
            <a:srgbClr val="808080">
              <a:alpha val="37999"/>
            </a:srgbClr>
          </a:outer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35</xdr:col>
      <xdr:colOff>55644</xdr:colOff>
      <xdr:row>48</xdr:row>
      <xdr:rowOff>6724</xdr:rowOff>
    </xdr:from>
    <xdr:to>
      <xdr:col>39</xdr:col>
      <xdr:colOff>198409</xdr:colOff>
      <xdr:row>48</xdr:row>
      <xdr:rowOff>6724</xdr:rowOff>
    </xdr:to>
    <xdr:cxnSp macro="">
      <xdr:nvCxnSpPr>
        <xdr:cNvPr id="302" name="Straight Arrow Connector 41">
          <a:extLst>
            <a:ext uri="{FF2B5EF4-FFF2-40B4-BE49-F238E27FC236}">
              <a16:creationId xmlns:a16="http://schemas.microsoft.com/office/drawing/2014/main" id="{5FA82202-EFE2-43EB-89D5-8C4C63FA8885}"/>
            </a:ext>
          </a:extLst>
        </xdr:cNvPr>
        <xdr:cNvCxnSpPr>
          <a:cxnSpLocks noChangeShapeType="1"/>
        </xdr:cNvCxnSpPr>
      </xdr:nvCxnSpPr>
      <xdr:spPr bwMode="auto">
        <a:xfrm>
          <a:off x="7378688" y="8231842"/>
          <a:ext cx="972000" cy="0"/>
        </a:xfrm>
        <a:prstGeom prst="straightConnector1">
          <a:avLst/>
        </a:prstGeom>
        <a:noFill/>
        <a:ln w="19050">
          <a:solidFill>
            <a:schemeClr val="accent1"/>
          </a:solidFill>
          <a:round/>
          <a:headEnd/>
          <a:tailEnd type="triangle" w="med" len="med"/>
        </a:ln>
        <a:effectLst>
          <a:outerShdw blurRad="40000" dist="20000" dir="5400000" rotWithShape="0">
            <a:srgbClr val="808080">
              <a:alpha val="37999"/>
            </a:srgbClr>
          </a:outer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36</xdr:col>
      <xdr:colOff>63678</xdr:colOff>
      <xdr:row>46</xdr:row>
      <xdr:rowOff>25696</xdr:rowOff>
    </xdr:from>
    <xdr:ext cx="459549" cy="342786"/>
    <xdr:sp macro="" textlink="">
      <xdr:nvSpPr>
        <xdr:cNvPr id="303" name="TextBox 302">
          <a:extLst>
            <a:ext uri="{FF2B5EF4-FFF2-40B4-BE49-F238E27FC236}">
              <a16:creationId xmlns:a16="http://schemas.microsoft.com/office/drawing/2014/main" id="{BA255C8C-0E3A-48F6-A7AA-CB36217526B6}"/>
            </a:ext>
          </a:extLst>
        </xdr:cNvPr>
        <xdr:cNvSpPr txBox="1"/>
      </xdr:nvSpPr>
      <xdr:spPr>
        <a:xfrm>
          <a:off x="7747178" y="8450029"/>
          <a:ext cx="459549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600" b="1">
              <a:solidFill>
                <a:schemeClr val="accent1"/>
              </a:solidFill>
            </a:rPr>
            <a:t>J: 5</a:t>
          </a:r>
        </a:p>
      </xdr:txBody>
    </xdr:sp>
    <xdr:clientData/>
  </xdr:oneCellAnchor>
  <xdr:twoCellAnchor>
    <xdr:from>
      <xdr:col>61</xdr:col>
      <xdr:colOff>194010</xdr:colOff>
      <xdr:row>48</xdr:row>
      <xdr:rowOff>11950</xdr:rowOff>
    </xdr:from>
    <xdr:to>
      <xdr:col>83</xdr:col>
      <xdr:colOff>185279</xdr:colOff>
      <xdr:row>48</xdr:row>
      <xdr:rowOff>11950</xdr:rowOff>
    </xdr:to>
    <xdr:cxnSp macro="">
      <xdr:nvCxnSpPr>
        <xdr:cNvPr id="305" name="Straight Arrow Connector 41">
          <a:extLst>
            <a:ext uri="{FF2B5EF4-FFF2-40B4-BE49-F238E27FC236}">
              <a16:creationId xmlns:a16="http://schemas.microsoft.com/office/drawing/2014/main" id="{9ABEB14A-6D14-4ABD-8A28-AFDCE4C01C99}"/>
            </a:ext>
          </a:extLst>
        </xdr:cNvPr>
        <xdr:cNvCxnSpPr>
          <a:cxnSpLocks noChangeShapeType="1"/>
        </xdr:cNvCxnSpPr>
      </xdr:nvCxnSpPr>
      <xdr:spPr bwMode="auto">
        <a:xfrm>
          <a:off x="12957510" y="8751138"/>
          <a:ext cx="4575175" cy="0"/>
        </a:xfrm>
        <a:prstGeom prst="straightConnector1">
          <a:avLst/>
        </a:prstGeom>
        <a:noFill/>
        <a:ln w="19050">
          <a:solidFill>
            <a:schemeClr val="accent1"/>
          </a:solidFill>
          <a:round/>
          <a:headEnd/>
          <a:tailEnd type="triangle" w="med" len="med"/>
        </a:ln>
        <a:effectLst>
          <a:outerShdw blurRad="40000" dist="20000" dir="5400000" rotWithShape="0">
            <a:srgbClr val="808080">
              <a:alpha val="37999"/>
            </a:srgbClr>
          </a:outer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76</xdr:col>
      <xdr:colOff>2979</xdr:colOff>
      <xdr:row>46</xdr:row>
      <xdr:rowOff>26630</xdr:rowOff>
    </xdr:from>
    <xdr:ext cx="582404" cy="342786"/>
    <xdr:sp macro="" textlink="">
      <xdr:nvSpPr>
        <xdr:cNvPr id="306" name="TextBox 305">
          <a:extLst>
            <a:ext uri="{FF2B5EF4-FFF2-40B4-BE49-F238E27FC236}">
              <a16:creationId xmlns:a16="http://schemas.microsoft.com/office/drawing/2014/main" id="{5EFC932B-A65F-406B-BF62-50AF341848C1}"/>
            </a:ext>
          </a:extLst>
        </xdr:cNvPr>
        <xdr:cNvSpPr txBox="1"/>
      </xdr:nvSpPr>
      <xdr:spPr>
        <a:xfrm>
          <a:off x="16153146" y="8450963"/>
          <a:ext cx="582404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600" b="1">
              <a:solidFill>
                <a:schemeClr val="accent1"/>
              </a:solidFill>
            </a:rPr>
            <a:t>L: 22</a:t>
          </a:r>
        </a:p>
      </xdr:txBody>
    </xdr:sp>
    <xdr:clientData/>
  </xdr:oneCellAnchor>
  <xdr:twoCellAnchor>
    <xdr:from>
      <xdr:col>33</xdr:col>
      <xdr:colOff>11395</xdr:colOff>
      <xdr:row>36</xdr:row>
      <xdr:rowOff>1680</xdr:rowOff>
    </xdr:from>
    <xdr:to>
      <xdr:col>34</xdr:col>
      <xdr:colOff>164086</xdr:colOff>
      <xdr:row>36</xdr:row>
      <xdr:rowOff>1680</xdr:rowOff>
    </xdr:to>
    <xdr:cxnSp macro="">
      <xdr:nvCxnSpPr>
        <xdr:cNvPr id="2" name="Straight Arrow Connector 41">
          <a:extLst>
            <a:ext uri="{FF2B5EF4-FFF2-40B4-BE49-F238E27FC236}">
              <a16:creationId xmlns:a16="http://schemas.microsoft.com/office/drawing/2014/main" id="{C3F51D0E-D56A-47BC-9E55-277291A2B929}"/>
            </a:ext>
          </a:extLst>
        </xdr:cNvPr>
        <xdr:cNvCxnSpPr>
          <a:cxnSpLocks noChangeShapeType="1"/>
        </xdr:cNvCxnSpPr>
      </xdr:nvCxnSpPr>
      <xdr:spPr bwMode="auto">
        <a:xfrm flipV="1">
          <a:off x="6919821" y="6075268"/>
          <a:ext cx="360000" cy="0"/>
        </a:xfrm>
        <a:prstGeom prst="straightConnector1">
          <a:avLst/>
        </a:prstGeom>
        <a:noFill/>
        <a:ln w="25400">
          <a:solidFill>
            <a:srgbClr val="00B050"/>
          </a:solidFill>
          <a:prstDash val="sysDash"/>
          <a:round/>
          <a:headEnd/>
          <a:tailEnd type="none" w="med" len="med"/>
        </a:ln>
        <a:effectLst>
          <a:outerShdw blurRad="40000" dist="20000" dir="5400000" rotWithShape="0">
            <a:srgbClr val="808080">
              <a:alpha val="37999"/>
            </a:srgbClr>
          </a:outer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47230</xdr:colOff>
      <xdr:row>45</xdr:row>
      <xdr:rowOff>131482</xdr:rowOff>
    </xdr:from>
    <xdr:to>
      <xdr:col>5</xdr:col>
      <xdr:colOff>199922</xdr:colOff>
      <xdr:row>45</xdr:row>
      <xdr:rowOff>131482</xdr:rowOff>
    </xdr:to>
    <xdr:cxnSp macro="">
      <xdr:nvCxnSpPr>
        <xdr:cNvPr id="3" name="Straight Arrow Connector 41">
          <a:extLst>
            <a:ext uri="{FF2B5EF4-FFF2-40B4-BE49-F238E27FC236}">
              <a16:creationId xmlns:a16="http://schemas.microsoft.com/office/drawing/2014/main" id="{4E77AEC4-9FCC-45C3-AC2F-14E072692C39}"/>
            </a:ext>
          </a:extLst>
        </xdr:cNvPr>
        <xdr:cNvCxnSpPr>
          <a:cxnSpLocks noChangeShapeType="1"/>
        </xdr:cNvCxnSpPr>
      </xdr:nvCxnSpPr>
      <xdr:spPr bwMode="auto">
        <a:xfrm>
          <a:off x="943701" y="7818717"/>
          <a:ext cx="360000" cy="0"/>
        </a:xfrm>
        <a:prstGeom prst="straightConnector1">
          <a:avLst/>
        </a:prstGeom>
        <a:noFill/>
        <a:ln w="19050">
          <a:solidFill>
            <a:schemeClr val="accent1"/>
          </a:solidFill>
          <a:round/>
          <a:headEnd w="med" len="med"/>
          <a:tailEnd type="triangle" w="med" len="med"/>
        </a:ln>
        <a:effectLst>
          <a:outerShdw blurRad="40000" dist="20000" dir="5400000" rotWithShape="0">
            <a:srgbClr val="808080">
              <a:alpha val="37999"/>
            </a:srgbClr>
          </a:outer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40</xdr:col>
      <xdr:colOff>11185</xdr:colOff>
      <xdr:row>48</xdr:row>
      <xdr:rowOff>11016</xdr:rowOff>
    </xdr:from>
    <xdr:to>
      <xdr:col>61</xdr:col>
      <xdr:colOff>190524</xdr:colOff>
      <xdr:row>48</xdr:row>
      <xdr:rowOff>11016</xdr:rowOff>
    </xdr:to>
    <xdr:cxnSp macro="">
      <xdr:nvCxnSpPr>
        <xdr:cNvPr id="4" name="Straight Arrow Connector 41">
          <a:extLst>
            <a:ext uri="{FF2B5EF4-FFF2-40B4-BE49-F238E27FC236}">
              <a16:creationId xmlns:a16="http://schemas.microsoft.com/office/drawing/2014/main" id="{453E370E-F2A1-46BF-8CFF-076006CEF398}"/>
            </a:ext>
          </a:extLst>
        </xdr:cNvPr>
        <xdr:cNvCxnSpPr>
          <a:cxnSpLocks noChangeShapeType="1"/>
        </xdr:cNvCxnSpPr>
      </xdr:nvCxnSpPr>
      <xdr:spPr bwMode="auto">
        <a:xfrm flipV="1">
          <a:off x="8370773" y="8236134"/>
          <a:ext cx="4532825" cy="0"/>
        </a:xfrm>
        <a:prstGeom prst="straightConnector1">
          <a:avLst/>
        </a:prstGeom>
        <a:noFill/>
        <a:ln w="12700">
          <a:solidFill>
            <a:schemeClr val="accent1"/>
          </a:solidFill>
          <a:prstDash val="lgDash"/>
          <a:round/>
          <a:headEnd/>
          <a:tailEnd type="none" w="med" len="med"/>
        </a:ln>
        <a:effectLst>
          <a:outerShdw blurRad="40000" dist="20000" dir="5400000" rotWithShape="0">
            <a:srgbClr val="808080">
              <a:alpha val="37999"/>
            </a:srgbClr>
          </a:outer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83</xdr:col>
      <xdr:colOff>207538</xdr:colOff>
      <xdr:row>48</xdr:row>
      <xdr:rowOff>8775</xdr:rowOff>
    </xdr:from>
    <xdr:to>
      <xdr:col>87</xdr:col>
      <xdr:colOff>166100</xdr:colOff>
      <xdr:row>48</xdr:row>
      <xdr:rowOff>8775</xdr:rowOff>
    </xdr:to>
    <xdr:cxnSp macro="">
      <xdr:nvCxnSpPr>
        <xdr:cNvPr id="6" name="Straight Arrow Connector 41">
          <a:extLst>
            <a:ext uri="{FF2B5EF4-FFF2-40B4-BE49-F238E27FC236}">
              <a16:creationId xmlns:a16="http://schemas.microsoft.com/office/drawing/2014/main" id="{D90962AB-7CB6-4CBF-B5AB-D8F7F116469C}"/>
            </a:ext>
          </a:extLst>
        </xdr:cNvPr>
        <xdr:cNvCxnSpPr>
          <a:cxnSpLocks noChangeShapeType="1"/>
        </xdr:cNvCxnSpPr>
      </xdr:nvCxnSpPr>
      <xdr:spPr bwMode="auto">
        <a:xfrm flipV="1">
          <a:off x="17554944" y="8747963"/>
          <a:ext cx="792000" cy="0"/>
        </a:xfrm>
        <a:prstGeom prst="straightConnector1">
          <a:avLst/>
        </a:prstGeom>
        <a:noFill/>
        <a:ln w="12700">
          <a:solidFill>
            <a:schemeClr val="accent1"/>
          </a:solidFill>
          <a:prstDash val="lgDash"/>
          <a:round/>
          <a:headEnd/>
          <a:tailEnd type="none" w="med" len="med"/>
        </a:ln>
        <a:effectLst>
          <a:outerShdw blurRad="40000" dist="20000" dir="5400000" rotWithShape="0">
            <a:srgbClr val="808080">
              <a:alpha val="37999"/>
            </a:srgbClr>
          </a:outer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28</xdr:col>
      <xdr:colOff>66104</xdr:colOff>
      <xdr:row>34</xdr:row>
      <xdr:rowOff>10814</xdr:rowOff>
    </xdr:from>
    <xdr:ext cx="520976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0121356-77D3-4740-B8FC-0F1DD35C4B2B}"/>
            </a:ext>
          </a:extLst>
        </xdr:cNvPr>
        <xdr:cNvSpPr txBox="1"/>
      </xdr:nvSpPr>
      <xdr:spPr>
        <a:xfrm>
          <a:off x="6056271" y="6276147"/>
          <a:ext cx="520976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600" b="1">
              <a:solidFill>
                <a:schemeClr val="accent1"/>
              </a:solidFill>
            </a:rPr>
            <a:t>D: 7</a:t>
          </a:r>
        </a:p>
      </xdr:txBody>
    </xdr:sp>
    <xdr:clientData/>
  </xdr:oneCellAnchor>
  <xdr:oneCellAnchor>
    <xdr:from>
      <xdr:col>4</xdr:col>
      <xdr:colOff>60811</xdr:colOff>
      <xdr:row>74</xdr:row>
      <xdr:rowOff>9447</xdr:rowOff>
    </xdr:from>
    <xdr:ext cx="293285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CE46347-BC4A-422B-A391-25F79037BB27}"/>
            </a:ext>
          </a:extLst>
        </xdr:cNvPr>
        <xdr:cNvSpPr txBox="1"/>
      </xdr:nvSpPr>
      <xdr:spPr>
        <a:xfrm>
          <a:off x="957282" y="12627271"/>
          <a:ext cx="29328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600" b="1">
              <a:solidFill>
                <a:schemeClr val="accent1"/>
              </a:solidFill>
            </a:rPr>
            <a:t>C</a:t>
          </a:r>
        </a:p>
      </xdr:txBody>
    </xdr:sp>
    <xdr:clientData/>
  </xdr:oneCellAnchor>
  <xdr:twoCellAnchor>
    <xdr:from>
      <xdr:col>4</xdr:col>
      <xdr:colOff>10683</xdr:colOff>
      <xdr:row>75</xdr:row>
      <xdr:rowOff>171388</xdr:rowOff>
    </xdr:from>
    <xdr:to>
      <xdr:col>5</xdr:col>
      <xdr:colOff>199375</xdr:colOff>
      <xdr:row>75</xdr:row>
      <xdr:rowOff>171388</xdr:rowOff>
    </xdr:to>
    <xdr:cxnSp macro="">
      <xdr:nvCxnSpPr>
        <xdr:cNvPr id="11" name="Straight Arrow Connector 41">
          <a:extLst>
            <a:ext uri="{FF2B5EF4-FFF2-40B4-BE49-F238E27FC236}">
              <a16:creationId xmlns:a16="http://schemas.microsoft.com/office/drawing/2014/main" id="{1F50C3A6-A4D9-4A93-8E8F-945B81D50088}"/>
            </a:ext>
          </a:extLst>
        </xdr:cNvPr>
        <xdr:cNvCxnSpPr>
          <a:cxnSpLocks noChangeShapeType="1"/>
        </xdr:cNvCxnSpPr>
      </xdr:nvCxnSpPr>
      <xdr:spPr bwMode="auto">
        <a:xfrm>
          <a:off x="907154" y="12968506"/>
          <a:ext cx="396000" cy="0"/>
        </a:xfrm>
        <a:prstGeom prst="straightConnector1">
          <a:avLst/>
        </a:prstGeom>
        <a:noFill/>
        <a:ln w="19050">
          <a:solidFill>
            <a:schemeClr val="accent1"/>
          </a:solidFill>
          <a:round/>
          <a:headEnd w="med" len="med"/>
          <a:tailEnd type="triangle" w="med" len="med"/>
        </a:ln>
        <a:effectLst>
          <a:outerShdw blurRad="40000" dist="20000" dir="5400000" rotWithShape="0">
            <a:srgbClr val="808080">
              <a:alpha val="37999"/>
            </a:srgbClr>
          </a:outer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7</xdr:col>
      <xdr:colOff>58450</xdr:colOff>
      <xdr:row>74</xdr:row>
      <xdr:rowOff>18783</xdr:rowOff>
    </xdr:from>
    <xdr:ext cx="278859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26DA865-7588-46CD-A43A-A6B8CD8C46B2}"/>
            </a:ext>
          </a:extLst>
        </xdr:cNvPr>
        <xdr:cNvSpPr txBox="1"/>
      </xdr:nvSpPr>
      <xdr:spPr>
        <a:xfrm>
          <a:off x="1576847" y="12636607"/>
          <a:ext cx="278859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600" b="1">
              <a:solidFill>
                <a:schemeClr val="accent1"/>
              </a:solidFill>
            </a:rPr>
            <a:t>F</a:t>
          </a:r>
        </a:p>
      </xdr:txBody>
    </xdr:sp>
    <xdr:clientData/>
  </xdr:oneCellAnchor>
  <xdr:twoCellAnchor>
    <xdr:from>
      <xdr:col>6</xdr:col>
      <xdr:colOff>29694</xdr:colOff>
      <xdr:row>75</xdr:row>
      <xdr:rowOff>173879</xdr:rowOff>
    </xdr:from>
    <xdr:to>
      <xdr:col>9</xdr:col>
      <xdr:colOff>200702</xdr:colOff>
      <xdr:row>75</xdr:row>
      <xdr:rowOff>173879</xdr:rowOff>
    </xdr:to>
    <xdr:cxnSp macro="">
      <xdr:nvCxnSpPr>
        <xdr:cNvPr id="13" name="Straight Arrow Connector 41">
          <a:extLst>
            <a:ext uri="{FF2B5EF4-FFF2-40B4-BE49-F238E27FC236}">
              <a16:creationId xmlns:a16="http://schemas.microsoft.com/office/drawing/2014/main" id="{F180E81A-5E8E-4E67-8A40-78A0E023E8DC}"/>
            </a:ext>
          </a:extLst>
        </xdr:cNvPr>
        <xdr:cNvCxnSpPr>
          <a:cxnSpLocks noChangeShapeType="1"/>
        </xdr:cNvCxnSpPr>
      </xdr:nvCxnSpPr>
      <xdr:spPr bwMode="auto">
        <a:xfrm>
          <a:off x="1340782" y="13923497"/>
          <a:ext cx="792935" cy="0"/>
        </a:xfrm>
        <a:prstGeom prst="straightConnector1">
          <a:avLst/>
        </a:prstGeom>
        <a:noFill/>
        <a:ln w="19050">
          <a:solidFill>
            <a:schemeClr val="accent1"/>
          </a:solidFill>
          <a:round/>
          <a:headEnd/>
          <a:tailEnd type="triangle" w="med" len="med"/>
        </a:ln>
        <a:effectLst>
          <a:outerShdw blurRad="40000" dist="20000" dir="5400000" rotWithShape="0">
            <a:srgbClr val="808080">
              <a:alpha val="37999"/>
            </a:srgbClr>
          </a:outer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16054</xdr:colOff>
      <xdr:row>71</xdr:row>
      <xdr:rowOff>181538</xdr:rowOff>
    </xdr:from>
    <xdr:to>
      <xdr:col>25</xdr:col>
      <xdr:colOff>201744</xdr:colOff>
      <xdr:row>71</xdr:row>
      <xdr:rowOff>181538</xdr:rowOff>
    </xdr:to>
    <xdr:cxnSp macro="">
      <xdr:nvCxnSpPr>
        <xdr:cNvPr id="15" name="Straight Arrow Connector 41">
          <a:extLst>
            <a:ext uri="{FF2B5EF4-FFF2-40B4-BE49-F238E27FC236}">
              <a16:creationId xmlns:a16="http://schemas.microsoft.com/office/drawing/2014/main" id="{5C32BFAE-6DA6-41CF-AA8B-A889BA2CB1E7}"/>
            </a:ext>
          </a:extLst>
        </xdr:cNvPr>
        <xdr:cNvCxnSpPr>
          <a:cxnSpLocks noChangeShapeType="1"/>
        </xdr:cNvCxnSpPr>
      </xdr:nvCxnSpPr>
      <xdr:spPr bwMode="auto">
        <a:xfrm>
          <a:off x="926221" y="13209621"/>
          <a:ext cx="4630690" cy="0"/>
        </a:xfrm>
        <a:prstGeom prst="straightConnector1">
          <a:avLst/>
        </a:prstGeom>
        <a:noFill/>
        <a:ln w="19050">
          <a:solidFill>
            <a:schemeClr val="accent1"/>
          </a:solidFill>
          <a:round/>
          <a:headEnd/>
          <a:tailEnd type="triangle" w="med" len="med"/>
        </a:ln>
        <a:effectLst>
          <a:outerShdw blurRad="40000" dist="20000" dir="5400000" rotWithShape="0">
            <a:srgbClr val="808080">
              <a:alpha val="37999"/>
            </a:srgbClr>
          </a:outer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14</xdr:col>
      <xdr:colOff>130914</xdr:colOff>
      <xdr:row>70</xdr:row>
      <xdr:rowOff>27751</xdr:rowOff>
    </xdr:from>
    <xdr:ext cx="308995" cy="342786"/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552C97AC-3C17-4563-8584-480B63238A71}"/>
            </a:ext>
          </a:extLst>
        </xdr:cNvPr>
        <xdr:cNvSpPr txBox="1"/>
      </xdr:nvSpPr>
      <xdr:spPr>
        <a:xfrm>
          <a:off x="3100473" y="12836075"/>
          <a:ext cx="30899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600" b="1">
              <a:solidFill>
                <a:schemeClr val="accent1"/>
              </a:solidFill>
            </a:rPr>
            <a:t>A</a:t>
          </a:r>
        </a:p>
      </xdr:txBody>
    </xdr:sp>
    <xdr:clientData/>
  </xdr:oneCellAnchor>
  <xdr:twoCellAnchor>
    <xdr:from>
      <xdr:col>26</xdr:col>
      <xdr:colOff>23137</xdr:colOff>
      <xdr:row>71</xdr:row>
      <xdr:rowOff>182779</xdr:rowOff>
    </xdr:from>
    <xdr:to>
      <xdr:col>32</xdr:col>
      <xdr:colOff>180109</xdr:colOff>
      <xdr:row>71</xdr:row>
      <xdr:rowOff>182779</xdr:rowOff>
    </xdr:to>
    <xdr:cxnSp macro="">
      <xdr:nvCxnSpPr>
        <xdr:cNvPr id="227" name="Straight Arrow Connector 41">
          <a:extLst>
            <a:ext uri="{FF2B5EF4-FFF2-40B4-BE49-F238E27FC236}">
              <a16:creationId xmlns:a16="http://schemas.microsoft.com/office/drawing/2014/main" id="{892F69FA-7821-4EAF-AF69-0730D94E3C06}"/>
            </a:ext>
          </a:extLst>
        </xdr:cNvPr>
        <xdr:cNvCxnSpPr>
          <a:cxnSpLocks noChangeShapeType="1"/>
        </xdr:cNvCxnSpPr>
      </xdr:nvCxnSpPr>
      <xdr:spPr bwMode="auto">
        <a:xfrm>
          <a:off x="5480402" y="13181603"/>
          <a:ext cx="1400825" cy="0"/>
        </a:xfrm>
        <a:prstGeom prst="straightConnector1">
          <a:avLst/>
        </a:prstGeom>
        <a:noFill/>
        <a:ln w="19050">
          <a:solidFill>
            <a:schemeClr val="accent1"/>
          </a:solidFill>
          <a:round/>
          <a:headEnd w="med" len="med"/>
          <a:tailEnd type="triangle" w="med" len="med"/>
        </a:ln>
        <a:effectLst>
          <a:outerShdw blurRad="40000" dist="20000" dir="5400000" rotWithShape="0">
            <a:srgbClr val="808080">
              <a:alpha val="37999"/>
            </a:srgbClr>
          </a:outer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28</xdr:col>
      <xdr:colOff>128482</xdr:colOff>
      <xdr:row>70</xdr:row>
      <xdr:rowOff>27186</xdr:rowOff>
    </xdr:from>
    <xdr:ext cx="313997" cy="342786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FBF3C7EB-09FD-4419-A59A-FDE5093AB7A5}"/>
            </a:ext>
          </a:extLst>
        </xdr:cNvPr>
        <xdr:cNvSpPr txBox="1"/>
      </xdr:nvSpPr>
      <xdr:spPr>
        <a:xfrm>
          <a:off x="6000364" y="12835510"/>
          <a:ext cx="313997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600" b="1">
              <a:solidFill>
                <a:schemeClr val="accent1"/>
              </a:solidFill>
            </a:rPr>
            <a:t>D</a:t>
          </a:r>
        </a:p>
      </xdr:txBody>
    </xdr:sp>
    <xdr:clientData/>
  </xdr:oneCellAnchor>
  <xdr:twoCellAnchor>
    <xdr:from>
      <xdr:col>3</xdr:col>
      <xdr:colOff>206552</xdr:colOff>
      <xdr:row>79</xdr:row>
      <xdr:rowOff>2244</xdr:rowOff>
    </xdr:from>
    <xdr:to>
      <xdr:col>18</xdr:col>
      <xdr:colOff>12920</xdr:colOff>
      <xdr:row>79</xdr:row>
      <xdr:rowOff>2244</xdr:rowOff>
    </xdr:to>
    <xdr:cxnSp macro="">
      <xdr:nvCxnSpPr>
        <xdr:cNvPr id="230" name="Straight Arrow Connector 41">
          <a:extLst>
            <a:ext uri="{FF2B5EF4-FFF2-40B4-BE49-F238E27FC236}">
              <a16:creationId xmlns:a16="http://schemas.microsoft.com/office/drawing/2014/main" id="{33CD0BDE-278C-4108-87C8-F5ED9D5EE337}"/>
            </a:ext>
          </a:extLst>
        </xdr:cNvPr>
        <xdr:cNvCxnSpPr>
          <a:cxnSpLocks noChangeShapeType="1"/>
        </xdr:cNvCxnSpPr>
      </xdr:nvCxnSpPr>
      <xdr:spPr bwMode="auto">
        <a:xfrm>
          <a:off x="895714" y="14620318"/>
          <a:ext cx="2916000" cy="0"/>
        </a:xfrm>
        <a:prstGeom prst="straightConnector1">
          <a:avLst/>
        </a:prstGeom>
        <a:noFill/>
        <a:ln w="19050">
          <a:solidFill>
            <a:srgbClr val="FF0000"/>
          </a:solidFill>
          <a:round/>
          <a:headEnd/>
          <a:tailEnd type="triangle" w="med" len="med"/>
        </a:ln>
        <a:effectLst>
          <a:outerShdw blurRad="40000" dist="20000" dir="5400000" rotWithShape="0">
            <a:srgbClr val="808080">
              <a:alpha val="37999"/>
            </a:srgbClr>
          </a:outer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9</xdr:col>
      <xdr:colOff>203003</xdr:colOff>
      <xdr:row>77</xdr:row>
      <xdr:rowOff>112543</xdr:rowOff>
    </xdr:from>
    <xdr:ext cx="299697" cy="342786"/>
    <xdr:sp macro="" textlink="">
      <xdr:nvSpPr>
        <xdr:cNvPr id="231" name="TextBox 230">
          <a:extLst>
            <a:ext uri="{FF2B5EF4-FFF2-40B4-BE49-F238E27FC236}">
              <a16:creationId xmlns:a16="http://schemas.microsoft.com/office/drawing/2014/main" id="{5B8D2D99-6B76-4ECF-8BB8-AF27B5CF7FBC}"/>
            </a:ext>
          </a:extLst>
        </xdr:cNvPr>
        <xdr:cNvSpPr txBox="1"/>
      </xdr:nvSpPr>
      <xdr:spPr>
        <a:xfrm>
          <a:off x="2136018" y="14271175"/>
          <a:ext cx="299697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600" b="1">
              <a:solidFill>
                <a:srgbClr val="FF0000"/>
              </a:solidFill>
            </a:rPr>
            <a:t>B</a:t>
          </a:r>
        </a:p>
      </xdr:txBody>
    </xdr:sp>
    <xdr:clientData/>
  </xdr:oneCellAnchor>
  <xdr:twoCellAnchor>
    <xdr:from>
      <xdr:col>18</xdr:col>
      <xdr:colOff>14549</xdr:colOff>
      <xdr:row>79</xdr:row>
      <xdr:rowOff>2618</xdr:rowOff>
    </xdr:from>
    <xdr:to>
      <xdr:col>34</xdr:col>
      <xdr:colOff>189608</xdr:colOff>
      <xdr:row>79</xdr:row>
      <xdr:rowOff>2618</xdr:rowOff>
    </xdr:to>
    <xdr:cxnSp macro="">
      <xdr:nvCxnSpPr>
        <xdr:cNvPr id="235" name="Straight Arrow Connector 41">
          <a:extLst>
            <a:ext uri="{FF2B5EF4-FFF2-40B4-BE49-F238E27FC236}">
              <a16:creationId xmlns:a16="http://schemas.microsoft.com/office/drawing/2014/main" id="{3D0B67B6-D5D7-49F7-B92D-74C19C3851AD}"/>
            </a:ext>
          </a:extLst>
        </xdr:cNvPr>
        <xdr:cNvCxnSpPr>
          <a:cxnSpLocks noChangeShapeType="1"/>
        </xdr:cNvCxnSpPr>
      </xdr:nvCxnSpPr>
      <xdr:spPr bwMode="auto">
        <a:xfrm>
          <a:off x="3813343" y="14620692"/>
          <a:ext cx="3492000" cy="0"/>
        </a:xfrm>
        <a:prstGeom prst="straightConnector1">
          <a:avLst/>
        </a:prstGeom>
        <a:noFill/>
        <a:ln w="19050">
          <a:solidFill>
            <a:srgbClr val="FF0000"/>
          </a:solidFill>
          <a:round/>
          <a:headEnd/>
          <a:tailEnd type="triangle" w="med" len="med"/>
        </a:ln>
        <a:effectLst>
          <a:outerShdw blurRad="40000" dist="20000" dir="5400000" rotWithShape="0">
            <a:srgbClr val="808080">
              <a:alpha val="37999"/>
            </a:srgbClr>
          </a:outer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26</xdr:col>
      <xdr:colOff>135768</xdr:colOff>
      <xdr:row>77</xdr:row>
      <xdr:rowOff>112543</xdr:rowOff>
    </xdr:from>
    <xdr:ext cx="284758" cy="342786"/>
    <xdr:sp macro="" textlink="">
      <xdr:nvSpPr>
        <xdr:cNvPr id="236" name="TextBox 235">
          <a:extLst>
            <a:ext uri="{FF2B5EF4-FFF2-40B4-BE49-F238E27FC236}">
              <a16:creationId xmlns:a16="http://schemas.microsoft.com/office/drawing/2014/main" id="{047C9D0E-B052-4D56-BE1E-45854CC0A2AB}"/>
            </a:ext>
          </a:extLst>
        </xdr:cNvPr>
        <xdr:cNvSpPr txBox="1"/>
      </xdr:nvSpPr>
      <xdr:spPr>
        <a:xfrm>
          <a:off x="5593033" y="14271175"/>
          <a:ext cx="284758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600" b="1">
              <a:solidFill>
                <a:srgbClr val="FF0000"/>
              </a:solidFill>
            </a:rPr>
            <a:t>E</a:t>
          </a:r>
        </a:p>
      </xdr:txBody>
    </xdr:sp>
    <xdr:clientData/>
  </xdr:oneCellAnchor>
  <xdr:twoCellAnchor>
    <xdr:from>
      <xdr:col>35</xdr:col>
      <xdr:colOff>8177</xdr:colOff>
      <xdr:row>78</xdr:row>
      <xdr:rowOff>227483</xdr:rowOff>
    </xdr:from>
    <xdr:to>
      <xdr:col>61</xdr:col>
      <xdr:colOff>198147</xdr:colOff>
      <xdr:row>78</xdr:row>
      <xdr:rowOff>227483</xdr:rowOff>
    </xdr:to>
    <xdr:cxnSp macro="">
      <xdr:nvCxnSpPr>
        <xdr:cNvPr id="239" name="Straight Arrow Connector 41">
          <a:extLst>
            <a:ext uri="{FF2B5EF4-FFF2-40B4-BE49-F238E27FC236}">
              <a16:creationId xmlns:a16="http://schemas.microsoft.com/office/drawing/2014/main" id="{A4F854E1-957D-415B-9D0B-3EA0D107D1AE}"/>
            </a:ext>
          </a:extLst>
        </xdr:cNvPr>
        <xdr:cNvCxnSpPr>
          <a:cxnSpLocks noChangeShapeType="1"/>
        </xdr:cNvCxnSpPr>
      </xdr:nvCxnSpPr>
      <xdr:spPr bwMode="auto">
        <a:xfrm>
          <a:off x="7331221" y="14615836"/>
          <a:ext cx="5580000" cy="0"/>
        </a:xfrm>
        <a:prstGeom prst="straightConnector1">
          <a:avLst/>
        </a:prstGeom>
        <a:noFill/>
        <a:ln w="19050">
          <a:solidFill>
            <a:srgbClr val="FF0000"/>
          </a:solidFill>
          <a:round/>
          <a:headEnd/>
          <a:tailEnd type="triangle" w="med" len="med"/>
        </a:ln>
        <a:effectLst>
          <a:outerShdw blurRad="40000" dist="20000" dir="5400000" rotWithShape="0">
            <a:srgbClr val="808080">
              <a:alpha val="37999"/>
            </a:srgbClr>
          </a:outer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48</xdr:col>
      <xdr:colOff>77684</xdr:colOff>
      <xdr:row>77</xdr:row>
      <xdr:rowOff>123188</xdr:rowOff>
    </xdr:from>
    <xdr:ext cx="239361" cy="342786"/>
    <xdr:sp macro="" textlink="">
      <xdr:nvSpPr>
        <xdr:cNvPr id="240" name="TextBox 239">
          <a:extLst>
            <a:ext uri="{FF2B5EF4-FFF2-40B4-BE49-F238E27FC236}">
              <a16:creationId xmlns:a16="http://schemas.microsoft.com/office/drawing/2014/main" id="{6E42AD1B-8FBD-4003-8593-72EC12BC53F4}"/>
            </a:ext>
          </a:extLst>
        </xdr:cNvPr>
        <xdr:cNvSpPr txBox="1"/>
      </xdr:nvSpPr>
      <xdr:spPr>
        <a:xfrm>
          <a:off x="10095743" y="14281820"/>
          <a:ext cx="23936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600" b="1">
              <a:solidFill>
                <a:srgbClr val="FF0000"/>
              </a:solidFill>
            </a:rPr>
            <a:t>I</a:t>
          </a:r>
        </a:p>
      </xdr:txBody>
    </xdr:sp>
    <xdr:clientData/>
  </xdr:oneCellAnchor>
  <xdr:twoCellAnchor>
    <xdr:from>
      <xdr:col>62</xdr:col>
      <xdr:colOff>20128</xdr:colOff>
      <xdr:row>79</xdr:row>
      <xdr:rowOff>6540</xdr:rowOff>
    </xdr:from>
    <xdr:to>
      <xdr:col>87</xdr:col>
      <xdr:colOff>201407</xdr:colOff>
      <xdr:row>79</xdr:row>
      <xdr:rowOff>6540</xdr:rowOff>
    </xdr:to>
    <xdr:cxnSp macro="">
      <xdr:nvCxnSpPr>
        <xdr:cNvPr id="242" name="Straight Arrow Connector 41">
          <a:extLst>
            <a:ext uri="{FF2B5EF4-FFF2-40B4-BE49-F238E27FC236}">
              <a16:creationId xmlns:a16="http://schemas.microsoft.com/office/drawing/2014/main" id="{05D7BDAB-F3FD-4F41-833E-D7B3FBBFF28F}"/>
            </a:ext>
          </a:extLst>
        </xdr:cNvPr>
        <xdr:cNvCxnSpPr>
          <a:cxnSpLocks noChangeShapeType="1"/>
        </xdr:cNvCxnSpPr>
      </xdr:nvCxnSpPr>
      <xdr:spPr bwMode="auto">
        <a:xfrm>
          <a:off x="12940510" y="14624614"/>
          <a:ext cx="5364000" cy="0"/>
        </a:xfrm>
        <a:prstGeom prst="straightConnector1">
          <a:avLst/>
        </a:prstGeom>
        <a:noFill/>
        <a:ln w="19050">
          <a:solidFill>
            <a:srgbClr val="FF0000"/>
          </a:solidFill>
          <a:round/>
          <a:headEnd/>
          <a:tailEnd type="triangle" w="med" len="med"/>
        </a:ln>
        <a:effectLst>
          <a:outerShdw blurRad="40000" dist="20000" dir="5400000" rotWithShape="0">
            <a:srgbClr val="808080">
              <a:alpha val="37999"/>
            </a:srgbClr>
          </a:outer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74</xdr:col>
      <xdr:colOff>19228</xdr:colOff>
      <xdr:row>77</xdr:row>
      <xdr:rowOff>134394</xdr:rowOff>
    </xdr:from>
    <xdr:ext cx="296876" cy="342786"/>
    <xdr:sp macro="" textlink="">
      <xdr:nvSpPr>
        <xdr:cNvPr id="243" name="TextBox 242">
          <a:extLst>
            <a:ext uri="{FF2B5EF4-FFF2-40B4-BE49-F238E27FC236}">
              <a16:creationId xmlns:a16="http://schemas.microsoft.com/office/drawing/2014/main" id="{7E3C2D82-C016-4F45-8922-9B859ED17F4D}"/>
            </a:ext>
          </a:extLst>
        </xdr:cNvPr>
        <xdr:cNvSpPr txBox="1"/>
      </xdr:nvSpPr>
      <xdr:spPr>
        <a:xfrm>
          <a:off x="15427316" y="14293026"/>
          <a:ext cx="296876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600" b="1">
              <a:solidFill>
                <a:srgbClr val="FF0000"/>
              </a:solidFill>
            </a:rPr>
            <a:t>K</a:t>
          </a:r>
        </a:p>
      </xdr:txBody>
    </xdr:sp>
    <xdr:clientData/>
  </xdr:oneCellAnchor>
  <xdr:twoCellAnchor>
    <xdr:from>
      <xdr:col>33</xdr:col>
      <xdr:colOff>18482</xdr:colOff>
      <xdr:row>71</xdr:row>
      <xdr:rowOff>182652</xdr:rowOff>
    </xdr:from>
    <xdr:to>
      <xdr:col>50</xdr:col>
      <xdr:colOff>15882</xdr:colOff>
      <xdr:row>71</xdr:row>
      <xdr:rowOff>182652</xdr:rowOff>
    </xdr:to>
    <xdr:cxnSp macro="">
      <xdr:nvCxnSpPr>
        <xdr:cNvPr id="244" name="Straight Arrow Connector 41">
          <a:extLst>
            <a:ext uri="{FF2B5EF4-FFF2-40B4-BE49-F238E27FC236}">
              <a16:creationId xmlns:a16="http://schemas.microsoft.com/office/drawing/2014/main" id="{B7BDDF11-19AA-47F8-AD7F-E60AD3780D39}"/>
            </a:ext>
          </a:extLst>
        </xdr:cNvPr>
        <xdr:cNvCxnSpPr>
          <a:cxnSpLocks noChangeShapeType="1"/>
        </xdr:cNvCxnSpPr>
      </xdr:nvCxnSpPr>
      <xdr:spPr bwMode="auto">
        <a:xfrm>
          <a:off x="6926908" y="13181476"/>
          <a:ext cx="3521650" cy="0"/>
        </a:xfrm>
        <a:prstGeom prst="straightConnector1">
          <a:avLst/>
        </a:prstGeom>
        <a:noFill/>
        <a:ln w="19050">
          <a:solidFill>
            <a:schemeClr val="accent1"/>
          </a:solidFill>
          <a:round/>
          <a:headEnd/>
          <a:tailEnd type="triangle" w="med" len="med"/>
        </a:ln>
        <a:effectLst>
          <a:outerShdw blurRad="40000" dist="20000" dir="5400000" rotWithShape="0">
            <a:srgbClr val="808080">
              <a:alpha val="37999"/>
            </a:srgbClr>
          </a:outer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40</xdr:col>
      <xdr:colOff>121761</xdr:colOff>
      <xdr:row>72</xdr:row>
      <xdr:rowOff>1970</xdr:rowOff>
    </xdr:from>
    <xdr:ext cx="314125" cy="342786"/>
    <xdr:sp macro="" textlink="">
      <xdr:nvSpPr>
        <xdr:cNvPr id="245" name="TextBox 244">
          <a:extLst>
            <a:ext uri="{FF2B5EF4-FFF2-40B4-BE49-F238E27FC236}">
              <a16:creationId xmlns:a16="http://schemas.microsoft.com/office/drawing/2014/main" id="{9D141363-21D2-429D-A278-AC0DC44C2033}"/>
            </a:ext>
          </a:extLst>
        </xdr:cNvPr>
        <xdr:cNvSpPr txBox="1"/>
      </xdr:nvSpPr>
      <xdr:spPr>
        <a:xfrm>
          <a:off x="8481349" y="13191294"/>
          <a:ext cx="31412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600" b="1">
              <a:solidFill>
                <a:schemeClr val="accent1"/>
              </a:solidFill>
            </a:rPr>
            <a:t>H</a:t>
          </a:r>
        </a:p>
      </xdr:txBody>
    </xdr:sp>
    <xdr:clientData/>
  </xdr:oneCellAnchor>
  <xdr:twoCellAnchor>
    <xdr:from>
      <xdr:col>33</xdr:col>
      <xdr:colOff>17918</xdr:colOff>
      <xdr:row>69</xdr:row>
      <xdr:rowOff>174995</xdr:rowOff>
    </xdr:from>
    <xdr:to>
      <xdr:col>60</xdr:col>
      <xdr:colOff>579</xdr:colOff>
      <xdr:row>69</xdr:row>
      <xdr:rowOff>174995</xdr:rowOff>
    </xdr:to>
    <xdr:cxnSp macro="">
      <xdr:nvCxnSpPr>
        <xdr:cNvPr id="248" name="Straight Arrow Connector 41">
          <a:extLst>
            <a:ext uri="{FF2B5EF4-FFF2-40B4-BE49-F238E27FC236}">
              <a16:creationId xmlns:a16="http://schemas.microsoft.com/office/drawing/2014/main" id="{7AC96C1B-EBB6-46BF-809E-1B183AD3A676}"/>
            </a:ext>
          </a:extLst>
        </xdr:cNvPr>
        <xdr:cNvCxnSpPr>
          <a:cxnSpLocks noChangeShapeType="1"/>
        </xdr:cNvCxnSpPr>
      </xdr:nvCxnSpPr>
      <xdr:spPr bwMode="auto">
        <a:xfrm>
          <a:off x="6926344" y="12792819"/>
          <a:ext cx="5580000" cy="0"/>
        </a:xfrm>
        <a:prstGeom prst="straightConnector1">
          <a:avLst/>
        </a:prstGeom>
        <a:noFill/>
        <a:ln w="19050">
          <a:solidFill>
            <a:schemeClr val="accent1"/>
          </a:solidFill>
          <a:round/>
          <a:headEnd/>
          <a:tailEnd type="triangle" w="med" len="med"/>
        </a:ln>
        <a:effectLst>
          <a:outerShdw blurRad="40000" dist="20000" dir="5400000" rotWithShape="0">
            <a:srgbClr val="808080">
              <a:alpha val="37999"/>
            </a:srgbClr>
          </a:outer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46</xdr:col>
      <xdr:colOff>141371</xdr:colOff>
      <xdr:row>68</xdr:row>
      <xdr:rowOff>33727</xdr:rowOff>
    </xdr:from>
    <xdr:ext cx="315407" cy="342786"/>
    <xdr:sp macro="" textlink="">
      <xdr:nvSpPr>
        <xdr:cNvPr id="249" name="TextBox 248">
          <a:extLst>
            <a:ext uri="{FF2B5EF4-FFF2-40B4-BE49-F238E27FC236}">
              <a16:creationId xmlns:a16="http://schemas.microsoft.com/office/drawing/2014/main" id="{CFC9B348-9578-49BB-976A-A4E06F3D5A59}"/>
            </a:ext>
          </a:extLst>
        </xdr:cNvPr>
        <xdr:cNvSpPr txBox="1"/>
      </xdr:nvSpPr>
      <xdr:spPr>
        <a:xfrm>
          <a:off x="9744812" y="12461051"/>
          <a:ext cx="315407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600" b="1">
              <a:solidFill>
                <a:schemeClr val="accent1"/>
              </a:solidFill>
            </a:rPr>
            <a:t>G</a:t>
          </a:r>
        </a:p>
      </xdr:txBody>
    </xdr:sp>
    <xdr:clientData/>
  </xdr:oneCellAnchor>
  <xdr:twoCellAnchor>
    <xdr:from>
      <xdr:col>35</xdr:col>
      <xdr:colOff>8853</xdr:colOff>
      <xdr:row>76</xdr:row>
      <xdr:rowOff>1372</xdr:rowOff>
    </xdr:from>
    <xdr:to>
      <xdr:col>40</xdr:col>
      <xdr:colOff>11056</xdr:colOff>
      <xdr:row>76</xdr:row>
      <xdr:rowOff>1372</xdr:rowOff>
    </xdr:to>
    <xdr:cxnSp macro="">
      <xdr:nvCxnSpPr>
        <xdr:cNvPr id="251" name="Straight Arrow Connector 41">
          <a:extLst>
            <a:ext uri="{FF2B5EF4-FFF2-40B4-BE49-F238E27FC236}">
              <a16:creationId xmlns:a16="http://schemas.microsoft.com/office/drawing/2014/main" id="{3C4490F4-8FE3-4AFA-82FA-B68DA6DA8E19}"/>
            </a:ext>
          </a:extLst>
        </xdr:cNvPr>
        <xdr:cNvCxnSpPr>
          <a:cxnSpLocks noChangeShapeType="1"/>
        </xdr:cNvCxnSpPr>
      </xdr:nvCxnSpPr>
      <xdr:spPr bwMode="auto">
        <a:xfrm>
          <a:off x="7355009" y="13895966"/>
          <a:ext cx="1044000" cy="0"/>
        </a:xfrm>
        <a:prstGeom prst="straightConnector1">
          <a:avLst/>
        </a:prstGeom>
        <a:noFill/>
        <a:ln w="19050">
          <a:solidFill>
            <a:schemeClr val="accent1"/>
          </a:solidFill>
          <a:round/>
          <a:headEnd/>
          <a:tailEnd type="triangle" w="med" len="med"/>
        </a:ln>
        <a:effectLst>
          <a:outerShdw blurRad="40000" dist="20000" dir="5400000" rotWithShape="0">
            <a:srgbClr val="808080">
              <a:alpha val="37999"/>
            </a:srgbClr>
          </a:outer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36</xdr:col>
      <xdr:colOff>141507</xdr:colOff>
      <xdr:row>74</xdr:row>
      <xdr:rowOff>3540</xdr:rowOff>
    </xdr:from>
    <xdr:ext cx="252570" cy="342786"/>
    <xdr:sp macro="" textlink="">
      <xdr:nvSpPr>
        <xdr:cNvPr id="252" name="TextBox 251">
          <a:extLst>
            <a:ext uri="{FF2B5EF4-FFF2-40B4-BE49-F238E27FC236}">
              <a16:creationId xmlns:a16="http://schemas.microsoft.com/office/drawing/2014/main" id="{ECBEBB6F-EE85-4363-88CA-5587ED05A861}"/>
            </a:ext>
          </a:extLst>
        </xdr:cNvPr>
        <xdr:cNvSpPr txBox="1"/>
      </xdr:nvSpPr>
      <xdr:spPr>
        <a:xfrm>
          <a:off x="7696023" y="13540946"/>
          <a:ext cx="252570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600" b="1">
              <a:solidFill>
                <a:schemeClr val="accent1"/>
              </a:solidFill>
            </a:rPr>
            <a:t>J</a:t>
          </a:r>
        </a:p>
      </xdr:txBody>
    </xdr:sp>
    <xdr:clientData/>
  </xdr:oneCellAnchor>
  <xdr:twoCellAnchor>
    <xdr:from>
      <xdr:col>62</xdr:col>
      <xdr:colOff>8670</xdr:colOff>
      <xdr:row>76</xdr:row>
      <xdr:rowOff>110</xdr:rowOff>
    </xdr:from>
    <xdr:to>
      <xdr:col>83</xdr:col>
      <xdr:colOff>205123</xdr:colOff>
      <xdr:row>76</xdr:row>
      <xdr:rowOff>110</xdr:rowOff>
    </xdr:to>
    <xdr:cxnSp macro="">
      <xdr:nvCxnSpPr>
        <xdr:cNvPr id="254" name="Straight Arrow Connector 41">
          <a:extLst>
            <a:ext uri="{FF2B5EF4-FFF2-40B4-BE49-F238E27FC236}">
              <a16:creationId xmlns:a16="http://schemas.microsoft.com/office/drawing/2014/main" id="{548F3908-2768-47F3-8867-84E937D95010}"/>
            </a:ext>
          </a:extLst>
        </xdr:cNvPr>
        <xdr:cNvCxnSpPr>
          <a:cxnSpLocks noChangeShapeType="1"/>
        </xdr:cNvCxnSpPr>
      </xdr:nvCxnSpPr>
      <xdr:spPr bwMode="auto">
        <a:xfrm>
          <a:off x="12980529" y="13894704"/>
          <a:ext cx="4572000" cy="0"/>
        </a:xfrm>
        <a:prstGeom prst="straightConnector1">
          <a:avLst/>
        </a:prstGeom>
        <a:noFill/>
        <a:ln w="19050">
          <a:solidFill>
            <a:schemeClr val="accent1"/>
          </a:solidFill>
          <a:round/>
          <a:headEnd/>
          <a:tailEnd type="triangle" w="med" len="med"/>
        </a:ln>
        <a:effectLst>
          <a:outerShdw blurRad="40000" dist="20000" dir="5400000" rotWithShape="0">
            <a:srgbClr val="808080">
              <a:alpha val="37999"/>
            </a:srgbClr>
          </a:outer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72</xdr:col>
      <xdr:colOff>122843</xdr:colOff>
      <xdr:row>74</xdr:row>
      <xdr:rowOff>23521</xdr:rowOff>
    </xdr:from>
    <xdr:ext cx="271421" cy="342786"/>
    <xdr:sp macro="" textlink="">
      <xdr:nvSpPr>
        <xdr:cNvPr id="255" name="TextBox 254">
          <a:extLst>
            <a:ext uri="{FF2B5EF4-FFF2-40B4-BE49-F238E27FC236}">
              <a16:creationId xmlns:a16="http://schemas.microsoft.com/office/drawing/2014/main" id="{060ABF94-D16F-4B32-8750-A0718F97D9AA}"/>
            </a:ext>
          </a:extLst>
        </xdr:cNvPr>
        <xdr:cNvSpPr txBox="1"/>
      </xdr:nvSpPr>
      <xdr:spPr>
        <a:xfrm>
          <a:off x="15178296" y="13560927"/>
          <a:ext cx="27142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600" b="1">
              <a:solidFill>
                <a:schemeClr val="accent1"/>
              </a:solidFill>
            </a:rPr>
            <a:t>L</a:t>
          </a:r>
        </a:p>
      </xdr:txBody>
    </xdr:sp>
    <xdr:clientData/>
  </xdr:oneCellAnchor>
  <xdr:oneCellAnchor>
    <xdr:from>
      <xdr:col>3</xdr:col>
      <xdr:colOff>165714</xdr:colOff>
      <xdr:row>80</xdr:row>
      <xdr:rowOff>171000</xdr:rowOff>
    </xdr:from>
    <xdr:ext cx="286873" cy="342786"/>
    <xdr:sp macro="" textlink="">
      <xdr:nvSpPr>
        <xdr:cNvPr id="257" name="TextBox 256">
          <a:extLst>
            <a:ext uri="{FF2B5EF4-FFF2-40B4-BE49-F238E27FC236}">
              <a16:creationId xmlns:a16="http://schemas.microsoft.com/office/drawing/2014/main" id="{EA8DF174-E978-49A0-A84F-00A7482C6C16}"/>
            </a:ext>
          </a:extLst>
        </xdr:cNvPr>
        <xdr:cNvSpPr txBox="1"/>
      </xdr:nvSpPr>
      <xdr:spPr>
        <a:xfrm>
          <a:off x="864214" y="15061750"/>
          <a:ext cx="286873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600" b="1">
              <a:solidFill>
                <a:schemeClr val="accent1"/>
              </a:solidFill>
            </a:rPr>
            <a:t>+</a:t>
          </a:r>
        </a:p>
      </xdr:txBody>
    </xdr:sp>
    <xdr:clientData/>
  </xdr:oneCellAnchor>
  <xdr:oneCellAnchor>
    <xdr:from>
      <xdr:col>7</xdr:col>
      <xdr:colOff>79991</xdr:colOff>
      <xdr:row>80</xdr:row>
      <xdr:rowOff>171000</xdr:rowOff>
    </xdr:from>
    <xdr:ext cx="286873" cy="342786"/>
    <xdr:sp macro="" textlink="">
      <xdr:nvSpPr>
        <xdr:cNvPr id="258" name="TextBox 257">
          <a:extLst>
            <a:ext uri="{FF2B5EF4-FFF2-40B4-BE49-F238E27FC236}">
              <a16:creationId xmlns:a16="http://schemas.microsoft.com/office/drawing/2014/main" id="{892BDC78-D009-4B9D-8777-52D88DBFFA6D}"/>
            </a:ext>
          </a:extLst>
        </xdr:cNvPr>
        <xdr:cNvSpPr txBox="1"/>
      </xdr:nvSpPr>
      <xdr:spPr>
        <a:xfrm>
          <a:off x="1625158" y="15061750"/>
          <a:ext cx="286873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600" b="1">
              <a:solidFill>
                <a:schemeClr val="accent1"/>
              </a:solidFill>
            </a:rPr>
            <a:t>+</a:t>
          </a:r>
        </a:p>
      </xdr:txBody>
    </xdr:sp>
    <xdr:clientData/>
  </xdr:oneCellAnchor>
  <xdr:oneCellAnchor>
    <xdr:from>
      <xdr:col>13</xdr:col>
      <xdr:colOff>74699</xdr:colOff>
      <xdr:row>80</xdr:row>
      <xdr:rowOff>171000</xdr:rowOff>
    </xdr:from>
    <xdr:ext cx="286873" cy="342786"/>
    <xdr:sp macro="" textlink="">
      <xdr:nvSpPr>
        <xdr:cNvPr id="259" name="TextBox 258">
          <a:extLst>
            <a:ext uri="{FF2B5EF4-FFF2-40B4-BE49-F238E27FC236}">
              <a16:creationId xmlns:a16="http://schemas.microsoft.com/office/drawing/2014/main" id="{A26EF337-326E-43A2-90BC-3D25F3A868E5}"/>
            </a:ext>
          </a:extLst>
        </xdr:cNvPr>
        <xdr:cNvSpPr txBox="1"/>
      </xdr:nvSpPr>
      <xdr:spPr>
        <a:xfrm>
          <a:off x="2889866" y="15061750"/>
          <a:ext cx="286873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600" b="1">
              <a:solidFill>
                <a:schemeClr val="accent1"/>
              </a:solidFill>
            </a:rPr>
            <a:t>+</a:t>
          </a:r>
        </a:p>
      </xdr:txBody>
    </xdr:sp>
    <xdr:clientData/>
  </xdr:oneCellAnchor>
  <xdr:oneCellAnchor>
    <xdr:from>
      <xdr:col>21</xdr:col>
      <xdr:colOff>79986</xdr:colOff>
      <xdr:row>80</xdr:row>
      <xdr:rowOff>164655</xdr:rowOff>
    </xdr:from>
    <xdr:ext cx="286873" cy="342786"/>
    <xdr:sp macro="" textlink="">
      <xdr:nvSpPr>
        <xdr:cNvPr id="260" name="TextBox 259">
          <a:extLst>
            <a:ext uri="{FF2B5EF4-FFF2-40B4-BE49-F238E27FC236}">
              <a16:creationId xmlns:a16="http://schemas.microsoft.com/office/drawing/2014/main" id="{10444F42-703A-42C9-9045-7FBC2242713A}"/>
            </a:ext>
          </a:extLst>
        </xdr:cNvPr>
        <xdr:cNvSpPr txBox="1"/>
      </xdr:nvSpPr>
      <xdr:spPr>
        <a:xfrm>
          <a:off x="4588486" y="15055405"/>
          <a:ext cx="286873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600" b="1">
              <a:solidFill>
                <a:schemeClr val="accent1"/>
              </a:solidFill>
            </a:rPr>
            <a:t>+</a:t>
          </a:r>
        </a:p>
      </xdr:txBody>
    </xdr:sp>
    <xdr:clientData/>
  </xdr:oneCellAnchor>
  <xdr:oneCellAnchor>
    <xdr:from>
      <xdr:col>28</xdr:col>
      <xdr:colOff>91623</xdr:colOff>
      <xdr:row>80</xdr:row>
      <xdr:rowOff>161480</xdr:rowOff>
    </xdr:from>
    <xdr:ext cx="286873" cy="342786"/>
    <xdr:sp macro="" textlink="">
      <xdr:nvSpPr>
        <xdr:cNvPr id="262" name="TextBox 261">
          <a:extLst>
            <a:ext uri="{FF2B5EF4-FFF2-40B4-BE49-F238E27FC236}">
              <a16:creationId xmlns:a16="http://schemas.microsoft.com/office/drawing/2014/main" id="{F234381A-0C1F-48B4-8AB3-5E02D46E0287}"/>
            </a:ext>
          </a:extLst>
        </xdr:cNvPr>
        <xdr:cNvSpPr txBox="1"/>
      </xdr:nvSpPr>
      <xdr:spPr>
        <a:xfrm>
          <a:off x="6081790" y="15052230"/>
          <a:ext cx="286873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600" b="1">
              <a:solidFill>
                <a:schemeClr val="accent1"/>
              </a:solidFill>
            </a:rPr>
            <a:t>+</a:t>
          </a:r>
        </a:p>
      </xdr:txBody>
    </xdr:sp>
    <xdr:clientData/>
  </xdr:oneCellAnchor>
  <xdr:oneCellAnchor>
    <xdr:from>
      <xdr:col>32</xdr:col>
      <xdr:colOff>167825</xdr:colOff>
      <xdr:row>80</xdr:row>
      <xdr:rowOff>161480</xdr:rowOff>
    </xdr:from>
    <xdr:ext cx="286873" cy="342786"/>
    <xdr:sp macro="" textlink="">
      <xdr:nvSpPr>
        <xdr:cNvPr id="265" name="TextBox 264">
          <a:extLst>
            <a:ext uri="{FF2B5EF4-FFF2-40B4-BE49-F238E27FC236}">
              <a16:creationId xmlns:a16="http://schemas.microsoft.com/office/drawing/2014/main" id="{300EDB42-5D6D-4B1E-97FF-54B59952CCB2}"/>
            </a:ext>
          </a:extLst>
        </xdr:cNvPr>
        <xdr:cNvSpPr txBox="1"/>
      </xdr:nvSpPr>
      <xdr:spPr>
        <a:xfrm>
          <a:off x="7004658" y="15052230"/>
          <a:ext cx="286873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600" b="1">
              <a:solidFill>
                <a:schemeClr val="accent1"/>
              </a:solidFill>
            </a:rPr>
            <a:t>+</a:t>
          </a:r>
        </a:p>
      </xdr:txBody>
    </xdr:sp>
    <xdr:clientData/>
  </xdr:oneCellAnchor>
  <xdr:oneCellAnchor>
    <xdr:from>
      <xdr:col>36</xdr:col>
      <xdr:colOff>180521</xdr:colOff>
      <xdr:row>80</xdr:row>
      <xdr:rowOff>164655</xdr:rowOff>
    </xdr:from>
    <xdr:ext cx="286873" cy="342786"/>
    <xdr:sp macro="" textlink="">
      <xdr:nvSpPr>
        <xdr:cNvPr id="269" name="TextBox 268">
          <a:extLst>
            <a:ext uri="{FF2B5EF4-FFF2-40B4-BE49-F238E27FC236}">
              <a16:creationId xmlns:a16="http://schemas.microsoft.com/office/drawing/2014/main" id="{0DF62FEF-AF0F-4D3F-B098-8FC435FA4BF6}"/>
            </a:ext>
          </a:extLst>
        </xdr:cNvPr>
        <xdr:cNvSpPr txBox="1"/>
      </xdr:nvSpPr>
      <xdr:spPr>
        <a:xfrm>
          <a:off x="7864021" y="15055405"/>
          <a:ext cx="286873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600" b="1">
              <a:solidFill>
                <a:schemeClr val="accent1"/>
              </a:solidFill>
            </a:rPr>
            <a:t>+</a:t>
          </a:r>
        </a:p>
      </xdr:txBody>
    </xdr:sp>
    <xdr:clientData/>
  </xdr:oneCellAnchor>
  <xdr:oneCellAnchor>
    <xdr:from>
      <xdr:col>44</xdr:col>
      <xdr:colOff>156177</xdr:colOff>
      <xdr:row>80</xdr:row>
      <xdr:rowOff>161480</xdr:rowOff>
    </xdr:from>
    <xdr:ext cx="286873" cy="342786"/>
    <xdr:sp macro="" textlink="">
      <xdr:nvSpPr>
        <xdr:cNvPr id="270" name="TextBox 269">
          <a:extLst>
            <a:ext uri="{FF2B5EF4-FFF2-40B4-BE49-F238E27FC236}">
              <a16:creationId xmlns:a16="http://schemas.microsoft.com/office/drawing/2014/main" id="{491FA6D3-E445-4C73-AAA5-8587ED34B1D4}"/>
            </a:ext>
          </a:extLst>
        </xdr:cNvPr>
        <xdr:cNvSpPr txBox="1"/>
      </xdr:nvSpPr>
      <xdr:spPr>
        <a:xfrm>
          <a:off x="9533010" y="15052230"/>
          <a:ext cx="286873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600" b="1">
              <a:solidFill>
                <a:schemeClr val="accent1"/>
              </a:solidFill>
            </a:rPr>
            <a:t>+</a:t>
          </a:r>
        </a:p>
      </xdr:txBody>
    </xdr:sp>
    <xdr:clientData/>
  </xdr:oneCellAnchor>
  <xdr:oneCellAnchor>
    <xdr:from>
      <xdr:col>54</xdr:col>
      <xdr:colOff>9065</xdr:colOff>
      <xdr:row>80</xdr:row>
      <xdr:rowOff>161480</xdr:rowOff>
    </xdr:from>
    <xdr:ext cx="286873" cy="342786"/>
    <xdr:sp macro="" textlink="">
      <xdr:nvSpPr>
        <xdr:cNvPr id="271" name="TextBox 270">
          <a:extLst>
            <a:ext uri="{FF2B5EF4-FFF2-40B4-BE49-F238E27FC236}">
              <a16:creationId xmlns:a16="http://schemas.microsoft.com/office/drawing/2014/main" id="{1E56D324-CE69-4B40-BF60-BF604A315A86}"/>
            </a:ext>
          </a:extLst>
        </xdr:cNvPr>
        <xdr:cNvSpPr txBox="1"/>
      </xdr:nvSpPr>
      <xdr:spPr>
        <a:xfrm>
          <a:off x="11502565" y="15052230"/>
          <a:ext cx="286873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600" b="1">
              <a:solidFill>
                <a:schemeClr val="accent1"/>
              </a:solidFill>
            </a:rPr>
            <a:t>+</a:t>
          </a:r>
        </a:p>
      </xdr:txBody>
    </xdr:sp>
    <xdr:clientData/>
  </xdr:oneCellAnchor>
  <xdr:oneCellAnchor>
    <xdr:from>
      <xdr:col>59</xdr:col>
      <xdr:colOff>161464</xdr:colOff>
      <xdr:row>80</xdr:row>
      <xdr:rowOff>161480</xdr:rowOff>
    </xdr:from>
    <xdr:ext cx="286873" cy="342786"/>
    <xdr:sp macro="" textlink="">
      <xdr:nvSpPr>
        <xdr:cNvPr id="272" name="TextBox 271">
          <a:extLst>
            <a:ext uri="{FF2B5EF4-FFF2-40B4-BE49-F238E27FC236}">
              <a16:creationId xmlns:a16="http://schemas.microsoft.com/office/drawing/2014/main" id="{2C9EC674-ABB8-4138-8618-84C680EB4426}"/>
            </a:ext>
          </a:extLst>
        </xdr:cNvPr>
        <xdr:cNvSpPr txBox="1"/>
      </xdr:nvSpPr>
      <xdr:spPr>
        <a:xfrm>
          <a:off x="12713297" y="15052230"/>
          <a:ext cx="286873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600" b="1">
              <a:solidFill>
                <a:schemeClr val="accent1"/>
              </a:solidFill>
            </a:rPr>
            <a:t>+</a:t>
          </a:r>
        </a:p>
      </xdr:txBody>
    </xdr:sp>
    <xdr:clientData/>
  </xdr:oneCellAnchor>
  <xdr:oneCellAnchor>
    <xdr:from>
      <xdr:col>73</xdr:col>
      <xdr:colOff>16467</xdr:colOff>
      <xdr:row>80</xdr:row>
      <xdr:rowOff>164655</xdr:rowOff>
    </xdr:from>
    <xdr:ext cx="286873" cy="342786"/>
    <xdr:sp macro="" textlink="">
      <xdr:nvSpPr>
        <xdr:cNvPr id="273" name="TextBox 272">
          <a:extLst>
            <a:ext uri="{FF2B5EF4-FFF2-40B4-BE49-F238E27FC236}">
              <a16:creationId xmlns:a16="http://schemas.microsoft.com/office/drawing/2014/main" id="{53523744-ABB2-449B-BC6C-E0346E7B0F3E}"/>
            </a:ext>
          </a:extLst>
        </xdr:cNvPr>
        <xdr:cNvSpPr txBox="1"/>
      </xdr:nvSpPr>
      <xdr:spPr>
        <a:xfrm>
          <a:off x="15531634" y="15055405"/>
          <a:ext cx="286873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600" b="1">
              <a:solidFill>
                <a:schemeClr val="accent1"/>
              </a:solidFill>
            </a:rPr>
            <a:t>+</a:t>
          </a:r>
        </a:p>
      </xdr:txBody>
    </xdr:sp>
    <xdr:clientData/>
  </xdr:oneCellAnchor>
  <xdr:oneCellAnchor>
    <xdr:from>
      <xdr:col>85</xdr:col>
      <xdr:colOff>58795</xdr:colOff>
      <xdr:row>80</xdr:row>
      <xdr:rowOff>164655</xdr:rowOff>
    </xdr:from>
    <xdr:ext cx="286873" cy="342786"/>
    <xdr:sp macro="" textlink="">
      <xdr:nvSpPr>
        <xdr:cNvPr id="274" name="TextBox 273">
          <a:extLst>
            <a:ext uri="{FF2B5EF4-FFF2-40B4-BE49-F238E27FC236}">
              <a16:creationId xmlns:a16="http://schemas.microsoft.com/office/drawing/2014/main" id="{F99BA2F4-37CE-40BF-8206-DAF1C2E74631}"/>
            </a:ext>
          </a:extLst>
        </xdr:cNvPr>
        <xdr:cNvSpPr txBox="1"/>
      </xdr:nvSpPr>
      <xdr:spPr>
        <a:xfrm>
          <a:off x="18113962" y="15055405"/>
          <a:ext cx="286873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AR" sz="1600" b="1">
              <a:solidFill>
                <a:schemeClr val="accent1"/>
              </a:solidFill>
            </a:rPr>
            <a:t>+</a:t>
          </a:r>
        </a:p>
      </xdr:txBody>
    </xdr:sp>
    <xdr:clientData/>
  </xdr:oneCellAnchor>
  <xdr:twoCellAnchor editAs="oneCell">
    <xdr:from>
      <xdr:col>35</xdr:col>
      <xdr:colOff>158773</xdr:colOff>
      <xdr:row>3</xdr:row>
      <xdr:rowOff>39160</xdr:rowOff>
    </xdr:from>
    <xdr:to>
      <xdr:col>82</xdr:col>
      <xdr:colOff>144496</xdr:colOff>
      <xdr:row>22</xdr:row>
      <xdr:rowOff>37520</xdr:rowOff>
    </xdr:to>
    <xdr:pic>
      <xdr:nvPicPr>
        <xdr:cNvPr id="275" name="Picture 274">
          <a:extLst>
            <a:ext uri="{FF2B5EF4-FFF2-40B4-BE49-F238E27FC236}">
              <a16:creationId xmlns:a16="http://schemas.microsoft.com/office/drawing/2014/main" id="{EB6D40FA-9F49-A663-3BE2-20F999391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30606" y="578910"/>
          <a:ext cx="9934057" cy="3564943"/>
        </a:xfrm>
        <a:prstGeom prst="rect">
          <a:avLst/>
        </a:prstGeom>
        <a:ln w="28575"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F96D1-2A37-4705-8735-590EBBFA294D}">
  <sheetPr>
    <pageSetUpPr fitToPage="1"/>
  </sheetPr>
  <dimension ref="B4:AV402"/>
  <sheetViews>
    <sheetView showGridLines="0" topLeftCell="A128" zoomScaleNormal="100" workbookViewId="0">
      <selection activeCell="AR60" sqref="AR60"/>
    </sheetView>
  </sheetViews>
  <sheetFormatPr baseColWidth="10" defaultColWidth="9.21875" defaultRowHeight="14.4" x14ac:dyDescent="0.3"/>
  <cols>
    <col min="1" max="7" width="4.44140625" customWidth="1"/>
    <col min="8" max="8" width="5.77734375" customWidth="1"/>
    <col min="9" max="126" width="4.44140625" customWidth="1"/>
  </cols>
  <sheetData>
    <row r="4" spans="2:36" x14ac:dyDescent="0.3">
      <c r="V4" s="34" t="s">
        <v>20</v>
      </c>
      <c r="W4" s="34"/>
      <c r="X4" s="34"/>
      <c r="Y4" s="34"/>
      <c r="Z4" s="34"/>
      <c r="AA4" s="34"/>
      <c r="AB4" s="34"/>
      <c r="AC4" s="34"/>
      <c r="AD4" s="34"/>
      <c r="AE4" s="34"/>
    </row>
    <row r="6" spans="2:36" ht="15" customHeight="1" x14ac:dyDescent="0.3">
      <c r="B6" s="43" t="s">
        <v>44</v>
      </c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V6" s="35" t="s">
        <v>4</v>
      </c>
      <c r="W6" s="35"/>
      <c r="X6" s="35"/>
      <c r="Y6" s="35" t="s">
        <v>5</v>
      </c>
      <c r="Z6" s="35"/>
      <c r="AA6" s="35"/>
      <c r="AB6" s="35"/>
      <c r="AC6" s="36" t="s">
        <v>45</v>
      </c>
      <c r="AD6" s="35"/>
      <c r="AE6" s="35"/>
      <c r="AF6" s="36" t="s">
        <v>41</v>
      </c>
      <c r="AG6" s="35"/>
      <c r="AH6" s="35"/>
    </row>
    <row r="7" spans="2:36" ht="15" customHeight="1" x14ac:dyDescent="0.3"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</row>
    <row r="8" spans="2:36" ht="15" customHeight="1" x14ac:dyDescent="0.3"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V8" s="37" t="s">
        <v>0</v>
      </c>
      <c r="W8" s="37"/>
      <c r="X8" s="37"/>
      <c r="Y8" s="38"/>
      <c r="Z8" s="38"/>
      <c r="AA8" s="38"/>
      <c r="AB8" s="38"/>
      <c r="AC8" s="37">
        <v>22</v>
      </c>
      <c r="AD8" s="37"/>
      <c r="AE8" s="37"/>
      <c r="AF8" s="39">
        <v>1100</v>
      </c>
      <c r="AG8" s="39"/>
      <c r="AH8" s="39"/>
      <c r="AI8" s="33"/>
      <c r="AJ8" s="32"/>
    </row>
    <row r="9" spans="2:36" ht="15" customHeight="1" x14ac:dyDescent="0.3"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V9" s="37" t="s">
        <v>1</v>
      </c>
      <c r="W9" s="37"/>
      <c r="X9" s="37"/>
      <c r="Y9" s="38"/>
      <c r="Z9" s="38"/>
      <c r="AA9" s="38"/>
      <c r="AB9" s="38"/>
      <c r="AC9" s="37">
        <v>14</v>
      </c>
      <c r="AD9" s="37"/>
      <c r="AE9" s="37"/>
      <c r="AF9" s="39">
        <v>50</v>
      </c>
      <c r="AG9" s="39"/>
      <c r="AH9" s="39"/>
      <c r="AI9" s="33"/>
      <c r="AJ9" s="32"/>
    </row>
    <row r="10" spans="2:36" ht="15" customHeight="1" x14ac:dyDescent="0.3"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V10" s="37" t="s">
        <v>6</v>
      </c>
      <c r="W10" s="37"/>
      <c r="X10" s="37"/>
      <c r="Y10" s="38"/>
      <c r="Z10" s="38"/>
      <c r="AA10" s="38"/>
      <c r="AB10" s="38"/>
      <c r="AC10" s="37">
        <v>2</v>
      </c>
      <c r="AD10" s="37"/>
      <c r="AE10" s="37"/>
      <c r="AF10" s="39">
        <v>190</v>
      </c>
      <c r="AG10" s="39"/>
      <c r="AH10" s="39"/>
      <c r="AI10" s="33"/>
      <c r="AJ10" s="32"/>
    </row>
    <row r="11" spans="2:36" ht="15" customHeight="1" x14ac:dyDescent="0.3"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V11" s="37" t="s">
        <v>7</v>
      </c>
      <c r="W11" s="37"/>
      <c r="X11" s="37"/>
      <c r="Y11" s="37" t="s">
        <v>0</v>
      </c>
      <c r="Z11" s="37"/>
      <c r="AA11" s="37"/>
      <c r="AB11" s="37"/>
      <c r="AC11" s="37">
        <v>7</v>
      </c>
      <c r="AD11" s="37"/>
      <c r="AE11" s="37"/>
      <c r="AF11" s="39">
        <v>150</v>
      </c>
      <c r="AG11" s="39"/>
      <c r="AH11" s="39"/>
      <c r="AI11" s="33"/>
      <c r="AJ11" s="32"/>
    </row>
    <row r="12" spans="2:36" ht="15" customHeight="1" x14ac:dyDescent="0.3"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V12" s="37" t="s">
        <v>8</v>
      </c>
      <c r="W12" s="37"/>
      <c r="X12" s="37"/>
      <c r="Y12" s="37" t="s">
        <v>1</v>
      </c>
      <c r="Z12" s="37"/>
      <c r="AA12" s="37"/>
      <c r="AB12" s="37"/>
      <c r="AC12" s="37">
        <v>17</v>
      </c>
      <c r="AD12" s="37"/>
      <c r="AE12" s="37"/>
      <c r="AF12" s="39">
        <v>1000</v>
      </c>
      <c r="AG12" s="39"/>
      <c r="AH12" s="39"/>
      <c r="AI12" s="33"/>
      <c r="AJ12" s="32"/>
    </row>
    <row r="13" spans="2:36" ht="15" customHeight="1" x14ac:dyDescent="0.3"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V13" s="37" t="s">
        <v>9</v>
      </c>
      <c r="W13" s="37"/>
      <c r="X13" s="37"/>
      <c r="Y13" s="37" t="s">
        <v>6</v>
      </c>
      <c r="Z13" s="37"/>
      <c r="AA13" s="37"/>
      <c r="AB13" s="37"/>
      <c r="AC13" s="37">
        <v>4</v>
      </c>
      <c r="AD13" s="37"/>
      <c r="AE13" s="37"/>
      <c r="AF13" s="39">
        <v>110</v>
      </c>
      <c r="AG13" s="39"/>
      <c r="AH13" s="39"/>
      <c r="AI13" s="33"/>
      <c r="AJ13" s="32"/>
    </row>
    <row r="14" spans="2:36" ht="15" customHeight="1" x14ac:dyDescent="0.3"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V14" s="37" t="s">
        <v>10</v>
      </c>
      <c r="W14" s="37"/>
      <c r="X14" s="37"/>
      <c r="Y14" s="37" t="s">
        <v>7</v>
      </c>
      <c r="Z14" s="37"/>
      <c r="AA14" s="37"/>
      <c r="AB14" s="37"/>
      <c r="AC14" s="37">
        <v>27</v>
      </c>
      <c r="AD14" s="37"/>
      <c r="AE14" s="37"/>
      <c r="AF14" s="39">
        <v>90</v>
      </c>
      <c r="AG14" s="39"/>
      <c r="AH14" s="39"/>
      <c r="AI14" s="33"/>
      <c r="AJ14" s="32"/>
    </row>
    <row r="15" spans="2:36" ht="15" customHeight="1" x14ac:dyDescent="0.3"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V15" s="37" t="s">
        <v>11</v>
      </c>
      <c r="W15" s="37"/>
      <c r="X15" s="37"/>
      <c r="Y15" s="37" t="s">
        <v>7</v>
      </c>
      <c r="Z15" s="37"/>
      <c r="AA15" s="37"/>
      <c r="AB15" s="37"/>
      <c r="AC15" s="37">
        <v>17</v>
      </c>
      <c r="AD15" s="37"/>
      <c r="AE15" s="37"/>
      <c r="AF15" s="39">
        <v>1050</v>
      </c>
      <c r="AG15" s="39"/>
      <c r="AH15" s="39"/>
      <c r="AI15" s="33"/>
      <c r="AJ15" s="32"/>
    </row>
    <row r="16" spans="2:36" ht="15" customHeight="1" x14ac:dyDescent="0.3"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V16" s="37" t="s">
        <v>12</v>
      </c>
      <c r="W16" s="37"/>
      <c r="X16" s="37"/>
      <c r="Y16" s="37" t="s">
        <v>42</v>
      </c>
      <c r="Z16" s="37"/>
      <c r="AA16" s="37"/>
      <c r="AB16" s="37"/>
      <c r="AC16" s="37">
        <v>27</v>
      </c>
      <c r="AD16" s="37"/>
      <c r="AE16" s="37"/>
      <c r="AF16" s="39">
        <v>350</v>
      </c>
      <c r="AG16" s="39"/>
      <c r="AH16" s="39"/>
      <c r="AI16" s="33"/>
      <c r="AJ16" s="32"/>
    </row>
    <row r="17" spans="2:36" ht="15" customHeight="1" x14ac:dyDescent="0.3"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V17" s="37" t="s">
        <v>13</v>
      </c>
      <c r="W17" s="37"/>
      <c r="X17" s="37"/>
      <c r="Y17" s="37" t="s">
        <v>17</v>
      </c>
      <c r="Z17" s="37"/>
      <c r="AA17" s="37"/>
      <c r="AB17" s="37"/>
      <c r="AC17" s="37">
        <v>5</v>
      </c>
      <c r="AD17" s="37"/>
      <c r="AE17" s="37"/>
      <c r="AF17" s="39">
        <v>400</v>
      </c>
      <c r="AG17" s="39"/>
      <c r="AH17" s="39"/>
      <c r="AI17" s="33"/>
      <c r="AJ17" s="32"/>
    </row>
    <row r="18" spans="2:36" ht="15" customHeight="1" x14ac:dyDescent="0.3"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V18" s="37" t="s">
        <v>14</v>
      </c>
      <c r="W18" s="37"/>
      <c r="X18" s="37"/>
      <c r="Y18" s="37" t="s">
        <v>18</v>
      </c>
      <c r="Z18" s="37"/>
      <c r="AA18" s="37"/>
      <c r="AB18" s="37"/>
      <c r="AC18" s="37">
        <v>26</v>
      </c>
      <c r="AD18" s="37"/>
      <c r="AE18" s="37"/>
      <c r="AF18" s="39">
        <v>1600</v>
      </c>
      <c r="AG18" s="39"/>
      <c r="AH18" s="39"/>
      <c r="AI18" s="33"/>
      <c r="AJ18" s="32"/>
    </row>
    <row r="19" spans="2:36" ht="15" customHeight="1" x14ac:dyDescent="0.3"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V19" s="37" t="s">
        <v>15</v>
      </c>
      <c r="W19" s="37"/>
      <c r="X19" s="37"/>
      <c r="Y19" s="37" t="s">
        <v>19</v>
      </c>
      <c r="Z19" s="37"/>
      <c r="AA19" s="37"/>
      <c r="AB19" s="37"/>
      <c r="AC19" s="37">
        <v>22</v>
      </c>
      <c r="AD19" s="37"/>
      <c r="AE19" s="37"/>
      <c r="AF19" s="39">
        <v>1300</v>
      </c>
      <c r="AG19" s="39"/>
      <c r="AH19" s="39"/>
      <c r="AI19" s="33"/>
      <c r="AJ19" s="32"/>
    </row>
    <row r="20" spans="2:36" x14ac:dyDescent="0.3"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</row>
    <row r="21" spans="2:36" x14ac:dyDescent="0.3"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</row>
    <row r="22" spans="2:36" x14ac:dyDescent="0.3"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</row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  <row r="39" customFormat="1" x14ac:dyDescent="0.3"/>
    <row r="40" customFormat="1" x14ac:dyDescent="0.3"/>
    <row r="41" customFormat="1" x14ac:dyDescent="0.3"/>
    <row r="42" customFormat="1" x14ac:dyDescent="0.3"/>
    <row r="43" customFormat="1" x14ac:dyDescent="0.3"/>
    <row r="44" customFormat="1" x14ac:dyDescent="0.3"/>
    <row r="45" customFormat="1" x14ac:dyDescent="0.3"/>
    <row r="46" customFormat="1" x14ac:dyDescent="0.3"/>
    <row r="47" customFormat="1" x14ac:dyDescent="0.3"/>
    <row r="48" customFormat="1" x14ac:dyDescent="0.3"/>
    <row r="56" spans="11:32" x14ac:dyDescent="0.3">
      <c r="K56" s="40" t="s">
        <v>24</v>
      </c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</row>
    <row r="57" spans="11:32" x14ac:dyDescent="0.3"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</row>
    <row r="60" spans="11:32" x14ac:dyDescent="0.3">
      <c r="O60" s="41">
        <v>2</v>
      </c>
      <c r="P60" s="41"/>
      <c r="Q60" s="42">
        <v>22</v>
      </c>
      <c r="R60" s="42"/>
      <c r="Y60" s="41">
        <v>5</v>
      </c>
      <c r="Z60" s="41"/>
      <c r="AA60" s="42">
        <f>Q60+7</f>
        <v>29</v>
      </c>
      <c r="AB60" s="42"/>
    </row>
    <row r="61" spans="11:32" x14ac:dyDescent="0.3">
      <c r="O61" s="41"/>
      <c r="P61" s="41"/>
      <c r="Q61" s="42"/>
      <c r="R61" s="42"/>
      <c r="Y61" s="41"/>
      <c r="Z61" s="41"/>
      <c r="AA61" s="42"/>
      <c r="AB61" s="42"/>
    </row>
    <row r="62" spans="11:32" x14ac:dyDescent="0.3">
      <c r="O62" s="41"/>
      <c r="P62" s="41"/>
      <c r="Q62" s="42">
        <f>AA62-7</f>
        <v>24</v>
      </c>
      <c r="R62" s="42"/>
      <c r="Y62" s="41"/>
      <c r="Z62" s="41"/>
      <c r="AA62" s="42">
        <f>AA73</f>
        <v>31</v>
      </c>
      <c r="AB62" s="42"/>
    </row>
    <row r="63" spans="11:32" x14ac:dyDescent="0.3">
      <c r="O63" s="41"/>
      <c r="P63" s="41"/>
      <c r="Q63" s="42"/>
      <c r="R63" s="42"/>
      <c r="Y63" s="41"/>
      <c r="Z63" s="41"/>
      <c r="AA63" s="42"/>
      <c r="AB63" s="42"/>
    </row>
    <row r="71" spans="5:48" ht="14.55" customHeight="1" x14ac:dyDescent="0.3">
      <c r="E71" s="46">
        <v>1</v>
      </c>
      <c r="F71" s="46"/>
      <c r="G71" s="44">
        <v>0</v>
      </c>
      <c r="H71" s="44"/>
      <c r="O71" s="41">
        <v>3</v>
      </c>
      <c r="P71" s="41"/>
      <c r="Q71" s="42">
        <v>14</v>
      </c>
      <c r="R71" s="42"/>
      <c r="Y71" s="41">
        <v>6</v>
      </c>
      <c r="Z71" s="41"/>
      <c r="AA71" s="42">
        <f>AA82</f>
        <v>31</v>
      </c>
      <c r="AB71" s="42"/>
      <c r="AI71" s="41">
        <v>8</v>
      </c>
      <c r="AJ71" s="41"/>
      <c r="AK71" s="42">
        <f>AA71+27</f>
        <v>58</v>
      </c>
      <c r="AL71" s="42"/>
      <c r="AS71" s="47">
        <v>10</v>
      </c>
      <c r="AT71" s="47"/>
      <c r="AU71" s="45">
        <f>AK71+26</f>
        <v>84</v>
      </c>
      <c r="AV71" s="45"/>
    </row>
    <row r="72" spans="5:48" ht="14.55" customHeight="1" x14ac:dyDescent="0.3">
      <c r="E72" s="46"/>
      <c r="F72" s="46"/>
      <c r="G72" s="44"/>
      <c r="H72" s="44"/>
      <c r="O72" s="41"/>
      <c r="P72" s="41"/>
      <c r="Q72" s="42"/>
      <c r="R72" s="42"/>
      <c r="Y72" s="41"/>
      <c r="Z72" s="41"/>
      <c r="AA72" s="42"/>
      <c r="AB72" s="42"/>
      <c r="AI72" s="41"/>
      <c r="AJ72" s="41"/>
      <c r="AK72" s="42"/>
      <c r="AL72" s="42"/>
      <c r="AS72" s="47"/>
      <c r="AT72" s="47"/>
      <c r="AU72" s="45"/>
      <c r="AV72" s="45"/>
    </row>
    <row r="73" spans="5:48" ht="14.55" customHeight="1" x14ac:dyDescent="0.3">
      <c r="E73" s="46"/>
      <c r="F73" s="46"/>
      <c r="G73" s="44">
        <v>0</v>
      </c>
      <c r="H73" s="44"/>
      <c r="O73" s="41"/>
      <c r="P73" s="41"/>
      <c r="Q73" s="42">
        <f>AA84-17</f>
        <v>14</v>
      </c>
      <c r="R73" s="42"/>
      <c r="Y73" s="41"/>
      <c r="Z73" s="41"/>
      <c r="AA73" s="42">
        <f>AK73-27</f>
        <v>31</v>
      </c>
      <c r="AB73" s="42"/>
      <c r="AI73" s="41"/>
      <c r="AJ73" s="41"/>
      <c r="AK73" s="42">
        <f>AU73-26</f>
        <v>58</v>
      </c>
      <c r="AL73" s="42"/>
      <c r="AS73" s="47"/>
      <c r="AT73" s="47"/>
      <c r="AU73" s="45">
        <f>AU71</f>
        <v>84</v>
      </c>
      <c r="AV73" s="45"/>
    </row>
    <row r="74" spans="5:48" ht="14.55" customHeight="1" x14ac:dyDescent="0.3">
      <c r="E74" s="46"/>
      <c r="F74" s="46"/>
      <c r="G74" s="44"/>
      <c r="H74" s="44"/>
      <c r="O74" s="41"/>
      <c r="P74" s="41"/>
      <c r="Q74" s="42"/>
      <c r="R74" s="42"/>
      <c r="Y74" s="41"/>
      <c r="Z74" s="41"/>
      <c r="AA74" s="42"/>
      <c r="AB74" s="42"/>
      <c r="AI74" s="41"/>
      <c r="AJ74" s="41"/>
      <c r="AK74" s="42"/>
      <c r="AL74" s="42"/>
      <c r="AS74" s="47"/>
      <c r="AT74" s="47"/>
      <c r="AU74" s="45"/>
      <c r="AV74" s="45"/>
    </row>
    <row r="82" spans="2:38" x14ac:dyDescent="0.3">
      <c r="O82" s="41">
        <v>4</v>
      </c>
      <c r="P82" s="41"/>
      <c r="Q82" s="42">
        <v>2</v>
      </c>
      <c r="R82" s="42"/>
      <c r="Y82" s="41">
        <v>7</v>
      </c>
      <c r="Z82" s="41"/>
      <c r="AA82" s="42">
        <f>Q71+17</f>
        <v>31</v>
      </c>
      <c r="AB82" s="42"/>
      <c r="AI82" s="41">
        <v>9</v>
      </c>
      <c r="AJ82" s="41"/>
      <c r="AK82" s="42">
        <f>AK71</f>
        <v>58</v>
      </c>
      <c r="AL82" s="42"/>
    </row>
    <row r="83" spans="2:38" x14ac:dyDescent="0.3">
      <c r="O83" s="41"/>
      <c r="P83" s="41"/>
      <c r="Q83" s="42"/>
      <c r="R83" s="42"/>
      <c r="Y83" s="41"/>
      <c r="Z83" s="41"/>
      <c r="AA83" s="42"/>
      <c r="AB83" s="42"/>
      <c r="AI83" s="41"/>
      <c r="AJ83" s="41"/>
      <c r="AK83" s="42"/>
      <c r="AL83" s="42"/>
    </row>
    <row r="84" spans="2:38" x14ac:dyDescent="0.3">
      <c r="O84" s="41"/>
      <c r="P84" s="41"/>
      <c r="Q84" s="42">
        <f>AA84-4</f>
        <v>27</v>
      </c>
      <c r="R84" s="42"/>
      <c r="Y84" s="41"/>
      <c r="Z84" s="41"/>
      <c r="AA84" s="42">
        <f>AA73</f>
        <v>31</v>
      </c>
      <c r="AB84" s="42"/>
      <c r="AI84" s="41"/>
      <c r="AJ84" s="41"/>
      <c r="AK84" s="42">
        <f>AU73-22</f>
        <v>62</v>
      </c>
      <c r="AL84" s="42"/>
    </row>
    <row r="85" spans="2:38" x14ac:dyDescent="0.3">
      <c r="O85" s="41"/>
      <c r="P85" s="41"/>
      <c r="Q85" s="42"/>
      <c r="R85" s="42"/>
      <c r="Y85" s="41"/>
      <c r="Z85" s="41"/>
      <c r="AA85" s="42"/>
      <c r="AB85" s="42"/>
      <c r="AI85" s="41"/>
      <c r="AJ85" s="41"/>
      <c r="AK85" s="42"/>
      <c r="AL85" s="42"/>
    </row>
    <row r="88" spans="2:38" x14ac:dyDescent="0.3">
      <c r="B88" s="50" t="s">
        <v>21</v>
      </c>
      <c r="C88" s="50"/>
      <c r="D88" s="42" t="s">
        <v>2</v>
      </c>
      <c r="E88" s="42"/>
      <c r="F88" s="51" t="s">
        <v>23</v>
      </c>
      <c r="G88" s="52"/>
      <c r="H88" s="52"/>
      <c r="I88" s="52"/>
    </row>
    <row r="89" spans="2:38" x14ac:dyDescent="0.3">
      <c r="B89" s="50"/>
      <c r="C89" s="50"/>
      <c r="D89" s="42"/>
      <c r="E89" s="42"/>
      <c r="F89" s="51"/>
      <c r="G89" s="52"/>
      <c r="H89" s="52"/>
      <c r="I89" s="52"/>
    </row>
    <row r="90" spans="2:38" x14ac:dyDescent="0.3">
      <c r="B90" s="50"/>
      <c r="C90" s="50"/>
      <c r="D90" s="42" t="s">
        <v>3</v>
      </c>
      <c r="E90" s="42"/>
      <c r="F90" s="51" t="s">
        <v>22</v>
      </c>
      <c r="G90" s="52"/>
      <c r="H90" s="52"/>
      <c r="I90" s="52"/>
    </row>
    <row r="91" spans="2:38" x14ac:dyDescent="0.3">
      <c r="B91" s="50"/>
      <c r="C91" s="50"/>
      <c r="D91" s="42"/>
      <c r="E91" s="42"/>
      <c r="F91" s="51"/>
      <c r="G91" s="52"/>
      <c r="H91" s="52"/>
      <c r="I91" s="52"/>
    </row>
    <row r="100" spans="7:34" ht="14.55" customHeight="1" x14ac:dyDescent="0.3">
      <c r="G100" s="40" t="s">
        <v>40</v>
      </c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</row>
    <row r="101" spans="7:34" ht="14.55" customHeight="1" x14ac:dyDescent="0.3"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</row>
    <row r="103" spans="7:34" ht="15.6" x14ac:dyDescent="0.3">
      <c r="G103" s="58" t="s">
        <v>4</v>
      </c>
      <c r="H103" s="59"/>
      <c r="I103" s="60"/>
      <c r="J103" s="67" t="s">
        <v>25</v>
      </c>
      <c r="K103" s="68"/>
      <c r="L103" s="68"/>
      <c r="M103" s="73" t="s">
        <v>28</v>
      </c>
      <c r="N103" s="73"/>
      <c r="O103" s="73"/>
      <c r="P103" s="73"/>
      <c r="Q103" s="73"/>
      <c r="R103" s="73"/>
      <c r="S103" s="73" t="s">
        <v>30</v>
      </c>
      <c r="T103" s="73"/>
      <c r="U103" s="73"/>
      <c r="V103" s="73"/>
      <c r="W103" s="73"/>
      <c r="X103" s="73"/>
      <c r="Y103" s="73" t="s">
        <v>33</v>
      </c>
      <c r="Z103" s="73"/>
      <c r="AA103" s="73"/>
      <c r="AB103" s="73"/>
      <c r="AC103" s="73"/>
      <c r="AD103" s="73"/>
    </row>
    <row r="104" spans="7:34" ht="14.55" customHeight="1" x14ac:dyDescent="0.3">
      <c r="G104" s="61"/>
      <c r="H104" s="62"/>
      <c r="I104" s="63"/>
      <c r="J104" s="69"/>
      <c r="K104" s="70"/>
      <c r="L104" s="70"/>
      <c r="M104" s="48" t="s">
        <v>26</v>
      </c>
      <c r="N104" s="48"/>
      <c r="O104" s="48" t="s">
        <v>27</v>
      </c>
      <c r="P104" s="48"/>
      <c r="Q104" s="55" t="s">
        <v>29</v>
      </c>
      <c r="R104" s="55"/>
      <c r="S104" s="48" t="s">
        <v>31</v>
      </c>
      <c r="T104" s="48"/>
      <c r="U104" s="48" t="s">
        <v>27</v>
      </c>
      <c r="V104" s="48"/>
      <c r="W104" s="55" t="s">
        <v>32</v>
      </c>
      <c r="X104" s="55"/>
      <c r="Y104" s="48" t="s">
        <v>31</v>
      </c>
      <c r="Z104" s="48"/>
      <c r="AA104" s="48" t="s">
        <v>34</v>
      </c>
      <c r="AB104" s="48"/>
      <c r="AC104" s="55" t="s">
        <v>35</v>
      </c>
      <c r="AD104" s="55"/>
    </row>
    <row r="105" spans="7:34" ht="14.55" customHeight="1" x14ac:dyDescent="0.3">
      <c r="G105" s="64"/>
      <c r="H105" s="65"/>
      <c r="I105" s="66"/>
      <c r="J105" s="71"/>
      <c r="K105" s="72"/>
      <c r="L105" s="72"/>
      <c r="M105" s="49"/>
      <c r="N105" s="49"/>
      <c r="O105" s="49"/>
      <c r="P105" s="49"/>
      <c r="Q105" s="56"/>
      <c r="R105" s="56"/>
      <c r="S105" s="49"/>
      <c r="T105" s="49"/>
      <c r="U105" s="49"/>
      <c r="V105" s="49"/>
      <c r="W105" s="56"/>
      <c r="X105" s="56"/>
      <c r="Y105" s="49"/>
      <c r="Z105" s="49"/>
      <c r="AA105" s="49"/>
      <c r="AB105" s="49"/>
      <c r="AC105" s="56"/>
      <c r="AD105" s="56"/>
    </row>
    <row r="106" spans="7:34" ht="14.55" customHeight="1" x14ac:dyDescent="0.3">
      <c r="G106" s="37" t="s">
        <v>0</v>
      </c>
      <c r="H106" s="37"/>
      <c r="I106" s="37"/>
      <c r="J106" s="37">
        <v>22</v>
      </c>
      <c r="K106" s="37"/>
      <c r="L106" s="37"/>
      <c r="M106" s="37">
        <v>24</v>
      </c>
      <c r="N106" s="37"/>
      <c r="O106" s="39">
        <v>0</v>
      </c>
      <c r="P106" s="39"/>
      <c r="Q106" s="57">
        <f>M106-O106-J106</f>
        <v>2</v>
      </c>
      <c r="R106" s="57"/>
      <c r="S106" s="37">
        <v>22</v>
      </c>
      <c r="T106" s="37"/>
      <c r="U106" s="74">
        <v>0</v>
      </c>
      <c r="V106" s="74"/>
      <c r="W106" s="75">
        <f>S106-U106-J106</f>
        <v>0</v>
      </c>
      <c r="X106" s="75"/>
      <c r="Y106" s="37">
        <v>22</v>
      </c>
      <c r="Z106" s="37"/>
      <c r="AA106" s="39">
        <v>0</v>
      </c>
      <c r="AB106" s="39"/>
      <c r="AC106" s="75">
        <f>Y106-AA106-J106</f>
        <v>0</v>
      </c>
      <c r="AD106" s="75"/>
      <c r="AE106" s="7"/>
      <c r="AG106" s="32"/>
      <c r="AH106" s="32"/>
    </row>
    <row r="107" spans="7:34" ht="14.55" customHeight="1" x14ac:dyDescent="0.3">
      <c r="G107" s="53" t="s">
        <v>1</v>
      </c>
      <c r="H107" s="53"/>
      <c r="I107" s="53"/>
      <c r="J107" s="53">
        <v>14</v>
      </c>
      <c r="K107" s="53"/>
      <c r="L107" s="53"/>
      <c r="M107" s="53">
        <v>14</v>
      </c>
      <c r="N107" s="53"/>
      <c r="O107" s="54">
        <v>0</v>
      </c>
      <c r="P107" s="54"/>
      <c r="Q107" s="54">
        <f t="shared" ref="Q107:Q119" si="0">M107-O107-J107</f>
        <v>0</v>
      </c>
      <c r="R107" s="54"/>
      <c r="S107" s="53">
        <v>14</v>
      </c>
      <c r="T107" s="53"/>
      <c r="U107" s="54">
        <v>0</v>
      </c>
      <c r="V107" s="54"/>
      <c r="W107" s="54">
        <f t="shared" ref="W107:W119" si="1">S107-U107-J107</f>
        <v>0</v>
      </c>
      <c r="X107" s="54"/>
      <c r="Y107" s="53">
        <v>14</v>
      </c>
      <c r="Z107" s="53"/>
      <c r="AA107" s="54">
        <v>0</v>
      </c>
      <c r="AB107" s="54"/>
      <c r="AC107" s="54">
        <f t="shared" ref="AC107:AC119" si="2">Y107-AA107-J107</f>
        <v>0</v>
      </c>
      <c r="AD107" s="54"/>
      <c r="AE107" s="7"/>
      <c r="AG107" s="32"/>
      <c r="AH107" s="32"/>
    </row>
    <row r="108" spans="7:34" ht="14.55" customHeight="1" x14ac:dyDescent="0.3">
      <c r="G108" s="37" t="s">
        <v>6</v>
      </c>
      <c r="H108" s="37"/>
      <c r="I108" s="37"/>
      <c r="J108" s="37">
        <v>2</v>
      </c>
      <c r="K108" s="37"/>
      <c r="L108" s="37"/>
      <c r="M108" s="37">
        <v>27</v>
      </c>
      <c r="N108" s="37"/>
      <c r="O108" s="39">
        <v>0</v>
      </c>
      <c r="P108" s="39"/>
      <c r="Q108" s="57">
        <f t="shared" si="0"/>
        <v>25</v>
      </c>
      <c r="R108" s="57"/>
      <c r="S108" s="37">
        <v>2</v>
      </c>
      <c r="T108" s="37"/>
      <c r="U108" s="39">
        <v>0</v>
      </c>
      <c r="V108" s="39"/>
      <c r="W108" s="75">
        <f t="shared" si="1"/>
        <v>0</v>
      </c>
      <c r="X108" s="75"/>
      <c r="Y108" s="37">
        <v>2</v>
      </c>
      <c r="Z108" s="37"/>
      <c r="AA108" s="39">
        <v>0</v>
      </c>
      <c r="AB108" s="39"/>
      <c r="AC108" s="75">
        <f t="shared" si="2"/>
        <v>0</v>
      </c>
      <c r="AD108" s="75"/>
      <c r="AE108" s="7"/>
      <c r="AG108" s="32"/>
      <c r="AH108" s="32"/>
    </row>
    <row r="109" spans="7:34" ht="14.55" customHeight="1" x14ac:dyDescent="0.3">
      <c r="G109" s="37" t="s">
        <v>7</v>
      </c>
      <c r="H109" s="37"/>
      <c r="I109" s="37"/>
      <c r="J109" s="37">
        <v>7</v>
      </c>
      <c r="K109" s="37"/>
      <c r="L109" s="37"/>
      <c r="M109" s="37">
        <v>31</v>
      </c>
      <c r="N109" s="37"/>
      <c r="O109" s="37">
        <v>22</v>
      </c>
      <c r="P109" s="37"/>
      <c r="Q109" s="57">
        <f t="shared" si="0"/>
        <v>2</v>
      </c>
      <c r="R109" s="57"/>
      <c r="S109" s="37">
        <v>29</v>
      </c>
      <c r="T109" s="37"/>
      <c r="U109" s="37">
        <v>22</v>
      </c>
      <c r="V109" s="37"/>
      <c r="W109" s="75">
        <f t="shared" si="1"/>
        <v>0</v>
      </c>
      <c r="X109" s="75"/>
      <c r="Y109" s="37">
        <v>29</v>
      </c>
      <c r="Z109" s="37"/>
      <c r="AA109" s="39">
        <v>24</v>
      </c>
      <c r="AB109" s="39"/>
      <c r="AC109" s="75">
        <f t="shared" si="2"/>
        <v>-2</v>
      </c>
      <c r="AD109" s="75"/>
      <c r="AE109" s="7"/>
      <c r="AG109" s="32"/>
      <c r="AH109" s="32"/>
    </row>
    <row r="110" spans="7:34" ht="14.55" customHeight="1" x14ac:dyDescent="0.3">
      <c r="G110" s="53" t="s">
        <v>8</v>
      </c>
      <c r="H110" s="53"/>
      <c r="I110" s="53"/>
      <c r="J110" s="53">
        <v>17</v>
      </c>
      <c r="K110" s="53"/>
      <c r="L110" s="53"/>
      <c r="M110" s="53">
        <v>31</v>
      </c>
      <c r="N110" s="53"/>
      <c r="O110" s="53">
        <v>14</v>
      </c>
      <c r="P110" s="53"/>
      <c r="Q110" s="54">
        <f t="shared" si="0"/>
        <v>0</v>
      </c>
      <c r="R110" s="54"/>
      <c r="S110" s="53">
        <v>31</v>
      </c>
      <c r="T110" s="53"/>
      <c r="U110" s="53">
        <v>14</v>
      </c>
      <c r="V110" s="53"/>
      <c r="W110" s="54">
        <f t="shared" si="1"/>
        <v>0</v>
      </c>
      <c r="X110" s="54"/>
      <c r="Y110" s="53">
        <v>31</v>
      </c>
      <c r="Z110" s="53"/>
      <c r="AA110" s="54">
        <v>14</v>
      </c>
      <c r="AB110" s="54"/>
      <c r="AC110" s="54">
        <f t="shared" si="2"/>
        <v>0</v>
      </c>
      <c r="AD110" s="54"/>
      <c r="AE110" s="7"/>
      <c r="AG110" s="32"/>
      <c r="AH110" s="32"/>
    </row>
    <row r="111" spans="7:34" ht="14.55" customHeight="1" x14ac:dyDescent="0.3">
      <c r="G111" s="37" t="s">
        <v>9</v>
      </c>
      <c r="H111" s="37"/>
      <c r="I111" s="37"/>
      <c r="J111" s="37">
        <v>4</v>
      </c>
      <c r="K111" s="37"/>
      <c r="L111" s="37"/>
      <c r="M111" s="37">
        <v>31</v>
      </c>
      <c r="N111" s="37"/>
      <c r="O111" s="37">
        <v>2</v>
      </c>
      <c r="P111" s="37"/>
      <c r="Q111" s="57">
        <f t="shared" si="0"/>
        <v>25</v>
      </c>
      <c r="R111" s="57"/>
      <c r="S111" s="37">
        <v>31</v>
      </c>
      <c r="T111" s="37"/>
      <c r="U111" s="37">
        <v>2</v>
      </c>
      <c r="V111" s="37"/>
      <c r="W111" s="75">
        <f t="shared" si="1"/>
        <v>25</v>
      </c>
      <c r="X111" s="75"/>
      <c r="Y111" s="37">
        <v>31</v>
      </c>
      <c r="Z111" s="37"/>
      <c r="AA111" s="39">
        <v>17</v>
      </c>
      <c r="AB111" s="39"/>
      <c r="AC111" s="75">
        <f t="shared" si="2"/>
        <v>10</v>
      </c>
      <c r="AD111" s="75"/>
      <c r="AE111" s="7"/>
      <c r="AG111" s="32"/>
      <c r="AH111" s="32"/>
    </row>
    <row r="112" spans="7:34" ht="14.55" customHeight="1" x14ac:dyDescent="0.3">
      <c r="G112" s="37" t="s">
        <v>10</v>
      </c>
      <c r="H112" s="37"/>
      <c r="I112" s="37"/>
      <c r="J112" s="37">
        <v>27</v>
      </c>
      <c r="K112" s="37"/>
      <c r="L112" s="37"/>
      <c r="M112" s="37">
        <v>84</v>
      </c>
      <c r="N112" s="37"/>
      <c r="O112" s="37">
        <v>29</v>
      </c>
      <c r="P112" s="37"/>
      <c r="Q112" s="57">
        <f t="shared" si="0"/>
        <v>28</v>
      </c>
      <c r="R112" s="57"/>
      <c r="S112" s="37">
        <v>84</v>
      </c>
      <c r="T112" s="37"/>
      <c r="U112" s="37">
        <v>29</v>
      </c>
      <c r="V112" s="37"/>
      <c r="W112" s="75">
        <f t="shared" si="1"/>
        <v>28</v>
      </c>
      <c r="X112" s="75"/>
      <c r="Y112" s="37">
        <v>84</v>
      </c>
      <c r="Z112" s="37"/>
      <c r="AA112" s="39">
        <v>31</v>
      </c>
      <c r="AB112" s="39"/>
      <c r="AC112" s="75">
        <f t="shared" si="2"/>
        <v>26</v>
      </c>
      <c r="AD112" s="75"/>
      <c r="AE112" s="7"/>
      <c r="AG112" s="32"/>
      <c r="AH112" s="32"/>
    </row>
    <row r="113" spans="7:34" ht="14.55" customHeight="1" x14ac:dyDescent="0.3">
      <c r="G113" s="37" t="s">
        <v>11</v>
      </c>
      <c r="H113" s="37"/>
      <c r="I113" s="37"/>
      <c r="J113" s="37">
        <v>17</v>
      </c>
      <c r="K113" s="37"/>
      <c r="L113" s="37"/>
      <c r="M113" s="37">
        <v>58</v>
      </c>
      <c r="N113" s="37"/>
      <c r="O113" s="37">
        <v>29</v>
      </c>
      <c r="P113" s="37"/>
      <c r="Q113" s="57">
        <f t="shared" si="0"/>
        <v>12</v>
      </c>
      <c r="R113" s="57"/>
      <c r="S113" s="37">
        <v>58</v>
      </c>
      <c r="T113" s="37"/>
      <c r="U113" s="37">
        <v>29</v>
      </c>
      <c r="V113" s="37"/>
      <c r="W113" s="75">
        <f t="shared" si="1"/>
        <v>12</v>
      </c>
      <c r="X113" s="75"/>
      <c r="Y113" s="37">
        <v>58</v>
      </c>
      <c r="Z113" s="37"/>
      <c r="AA113" s="39">
        <v>31</v>
      </c>
      <c r="AB113" s="39"/>
      <c r="AC113" s="75">
        <f t="shared" si="2"/>
        <v>10</v>
      </c>
      <c r="AD113" s="75"/>
      <c r="AE113" s="7"/>
      <c r="AG113" s="32"/>
      <c r="AH113" s="32"/>
    </row>
    <row r="114" spans="7:34" ht="14.55" customHeight="1" x14ac:dyDescent="0.3">
      <c r="G114" s="53" t="s">
        <v>12</v>
      </c>
      <c r="H114" s="53"/>
      <c r="I114" s="53"/>
      <c r="J114" s="53">
        <v>27</v>
      </c>
      <c r="K114" s="53"/>
      <c r="L114" s="53"/>
      <c r="M114" s="53">
        <v>58</v>
      </c>
      <c r="N114" s="53"/>
      <c r="O114" s="53">
        <v>31</v>
      </c>
      <c r="P114" s="53"/>
      <c r="Q114" s="54">
        <f t="shared" si="0"/>
        <v>0</v>
      </c>
      <c r="R114" s="54"/>
      <c r="S114" s="53">
        <v>58</v>
      </c>
      <c r="T114" s="53"/>
      <c r="U114" s="53">
        <v>31</v>
      </c>
      <c r="V114" s="53"/>
      <c r="W114" s="54">
        <f t="shared" si="1"/>
        <v>0</v>
      </c>
      <c r="X114" s="54"/>
      <c r="Y114" s="53">
        <v>58</v>
      </c>
      <c r="Z114" s="53"/>
      <c r="AA114" s="54">
        <v>31</v>
      </c>
      <c r="AB114" s="54"/>
      <c r="AC114" s="54">
        <f t="shared" si="2"/>
        <v>0</v>
      </c>
      <c r="AD114" s="54"/>
      <c r="AE114" s="7"/>
      <c r="AG114" s="32"/>
      <c r="AH114" s="32"/>
    </row>
    <row r="115" spans="7:34" ht="14.55" customHeight="1" x14ac:dyDescent="0.3">
      <c r="G115" s="37" t="s">
        <v>13</v>
      </c>
      <c r="H115" s="37"/>
      <c r="I115" s="37"/>
      <c r="J115" s="37">
        <v>5</v>
      </c>
      <c r="K115" s="37"/>
      <c r="L115" s="37"/>
      <c r="M115" s="37">
        <v>62</v>
      </c>
      <c r="N115" s="37"/>
      <c r="O115" s="37">
        <v>32</v>
      </c>
      <c r="P115" s="37"/>
      <c r="Q115" s="57">
        <f t="shared" si="0"/>
        <v>25</v>
      </c>
      <c r="R115" s="57"/>
      <c r="S115" s="37">
        <v>58</v>
      </c>
      <c r="T115" s="37"/>
      <c r="U115" s="37">
        <v>32</v>
      </c>
      <c r="V115" s="37"/>
      <c r="W115" s="75">
        <f t="shared" si="1"/>
        <v>21</v>
      </c>
      <c r="X115" s="75"/>
      <c r="Y115" s="37">
        <v>58</v>
      </c>
      <c r="Z115" s="37"/>
      <c r="AA115" s="39">
        <v>31</v>
      </c>
      <c r="AB115" s="39"/>
      <c r="AC115" s="75">
        <f t="shared" si="2"/>
        <v>22</v>
      </c>
      <c r="AD115" s="75"/>
      <c r="AE115" s="7"/>
      <c r="AG115" s="32"/>
      <c r="AH115" s="32"/>
    </row>
    <row r="116" spans="7:34" ht="14.55" customHeight="1" x14ac:dyDescent="0.3">
      <c r="G116" s="53" t="s">
        <v>14</v>
      </c>
      <c r="H116" s="53"/>
      <c r="I116" s="53"/>
      <c r="J116" s="53">
        <v>26</v>
      </c>
      <c r="K116" s="53"/>
      <c r="L116" s="53"/>
      <c r="M116" s="53">
        <v>84</v>
      </c>
      <c r="N116" s="53"/>
      <c r="O116" s="53">
        <v>58</v>
      </c>
      <c r="P116" s="53"/>
      <c r="Q116" s="54">
        <f t="shared" si="0"/>
        <v>0</v>
      </c>
      <c r="R116" s="54"/>
      <c r="S116" s="53">
        <v>84</v>
      </c>
      <c r="T116" s="53"/>
      <c r="U116" s="53">
        <v>58</v>
      </c>
      <c r="V116" s="53"/>
      <c r="W116" s="54">
        <f t="shared" si="1"/>
        <v>0</v>
      </c>
      <c r="X116" s="54"/>
      <c r="Y116" s="53">
        <v>84</v>
      </c>
      <c r="Z116" s="53"/>
      <c r="AA116" s="54">
        <v>58</v>
      </c>
      <c r="AB116" s="54"/>
      <c r="AC116" s="54">
        <f t="shared" si="2"/>
        <v>0</v>
      </c>
      <c r="AD116" s="54"/>
      <c r="AE116" s="7"/>
      <c r="AG116" s="32"/>
      <c r="AH116" s="32"/>
    </row>
    <row r="117" spans="7:34" ht="14.55" customHeight="1" x14ac:dyDescent="0.3">
      <c r="G117" s="37" t="s">
        <v>15</v>
      </c>
      <c r="H117" s="37"/>
      <c r="I117" s="37"/>
      <c r="J117" s="37">
        <v>22</v>
      </c>
      <c r="K117" s="37"/>
      <c r="L117" s="37"/>
      <c r="M117" s="37">
        <v>84</v>
      </c>
      <c r="N117" s="37"/>
      <c r="O117" s="37">
        <v>58</v>
      </c>
      <c r="P117" s="37"/>
      <c r="Q117" s="57">
        <f t="shared" si="0"/>
        <v>4</v>
      </c>
      <c r="R117" s="57"/>
      <c r="S117" s="37">
        <v>84</v>
      </c>
      <c r="T117" s="37"/>
      <c r="U117" s="37">
        <v>58</v>
      </c>
      <c r="V117" s="37"/>
      <c r="W117" s="75">
        <f t="shared" si="1"/>
        <v>4</v>
      </c>
      <c r="X117" s="75"/>
      <c r="Y117" s="37">
        <v>84</v>
      </c>
      <c r="Z117" s="37"/>
      <c r="AA117" s="39">
        <v>62</v>
      </c>
      <c r="AB117" s="39"/>
      <c r="AC117" s="75">
        <f t="shared" si="2"/>
        <v>0</v>
      </c>
      <c r="AD117" s="75"/>
      <c r="AE117" s="7"/>
      <c r="AG117" s="32"/>
      <c r="AH117" s="32"/>
    </row>
    <row r="118" spans="7:34" x14ac:dyDescent="0.3">
      <c r="G118" s="37" t="s">
        <v>36</v>
      </c>
      <c r="H118" s="37"/>
      <c r="I118" s="37"/>
      <c r="J118" s="39">
        <v>0</v>
      </c>
      <c r="K118" s="39"/>
      <c r="L118" s="39"/>
      <c r="M118" s="37">
        <v>31</v>
      </c>
      <c r="N118" s="37"/>
      <c r="O118" s="37">
        <v>29</v>
      </c>
      <c r="P118" s="37"/>
      <c r="Q118" s="57">
        <f t="shared" si="0"/>
        <v>2</v>
      </c>
      <c r="R118" s="57"/>
      <c r="S118" s="37">
        <v>31</v>
      </c>
      <c r="T118" s="37"/>
      <c r="U118" s="37">
        <v>29</v>
      </c>
      <c r="V118" s="37"/>
      <c r="W118" s="75">
        <f t="shared" si="1"/>
        <v>2</v>
      </c>
      <c r="X118" s="75"/>
      <c r="Y118" s="37">
        <v>31</v>
      </c>
      <c r="Z118" s="37"/>
      <c r="AA118" s="39">
        <v>31</v>
      </c>
      <c r="AB118" s="39"/>
      <c r="AC118" s="75">
        <f t="shared" si="2"/>
        <v>0</v>
      </c>
      <c r="AD118" s="75"/>
      <c r="AG118" s="32"/>
      <c r="AH118" s="32"/>
    </row>
    <row r="119" spans="7:34" x14ac:dyDescent="0.3">
      <c r="G119" s="53" t="s">
        <v>37</v>
      </c>
      <c r="H119" s="53"/>
      <c r="I119" s="53"/>
      <c r="J119" s="54">
        <v>0</v>
      </c>
      <c r="K119" s="54"/>
      <c r="L119" s="54"/>
      <c r="M119" s="53">
        <v>31</v>
      </c>
      <c r="N119" s="53"/>
      <c r="O119" s="53">
        <v>31</v>
      </c>
      <c r="P119" s="53"/>
      <c r="Q119" s="54">
        <f t="shared" si="0"/>
        <v>0</v>
      </c>
      <c r="R119" s="54"/>
      <c r="S119" s="53">
        <v>31</v>
      </c>
      <c r="T119" s="53"/>
      <c r="U119" s="53">
        <v>31</v>
      </c>
      <c r="V119" s="53"/>
      <c r="W119" s="54">
        <f t="shared" si="1"/>
        <v>0</v>
      </c>
      <c r="X119" s="54"/>
      <c r="Y119" s="53">
        <v>31</v>
      </c>
      <c r="Z119" s="53"/>
      <c r="AA119" s="54">
        <v>31</v>
      </c>
      <c r="AB119" s="54"/>
      <c r="AC119" s="54">
        <f t="shared" si="2"/>
        <v>0</v>
      </c>
      <c r="AD119" s="54"/>
      <c r="AG119" s="32"/>
      <c r="AH119" s="32"/>
    </row>
    <row r="120" spans="7:34" x14ac:dyDescent="0.3">
      <c r="G120" s="37" t="s">
        <v>38</v>
      </c>
      <c r="H120" s="37"/>
      <c r="I120" s="37"/>
      <c r="J120" s="39">
        <v>0</v>
      </c>
      <c r="K120" s="39"/>
      <c r="L120" s="39"/>
      <c r="M120" s="37">
        <v>62</v>
      </c>
      <c r="N120" s="37"/>
      <c r="O120" s="37">
        <v>58</v>
      </c>
      <c r="P120" s="37"/>
      <c r="Q120" s="57">
        <f t="shared" ref="Q120" si="3">M120-O120-J120</f>
        <v>4</v>
      </c>
      <c r="R120" s="57"/>
      <c r="S120" s="37">
        <v>58</v>
      </c>
      <c r="T120" s="37"/>
      <c r="U120" s="37">
        <v>58</v>
      </c>
      <c r="V120" s="37"/>
      <c r="W120" s="75">
        <f t="shared" ref="W120" si="4">S120-U120-J120</f>
        <v>0</v>
      </c>
      <c r="X120" s="75"/>
      <c r="Y120" s="37">
        <v>58</v>
      </c>
      <c r="Z120" s="37"/>
      <c r="AA120" s="39">
        <v>58</v>
      </c>
      <c r="AB120" s="39"/>
      <c r="AC120" s="75">
        <f t="shared" ref="AC120" si="5">Y120-AA120-J120</f>
        <v>0</v>
      </c>
      <c r="AD120" s="75"/>
      <c r="AG120" s="32"/>
      <c r="AH120" s="32"/>
    </row>
    <row r="130" spans="11:32" x14ac:dyDescent="0.3">
      <c r="K130" s="40" t="s">
        <v>39</v>
      </c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</row>
    <row r="131" spans="11:32" x14ac:dyDescent="0.3"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</row>
    <row r="134" spans="11:32" x14ac:dyDescent="0.3">
      <c r="O134" s="41">
        <v>2</v>
      </c>
      <c r="P134" s="41"/>
      <c r="Q134" s="42">
        <v>22</v>
      </c>
      <c r="R134" s="42"/>
      <c r="Y134" s="41">
        <v>5</v>
      </c>
      <c r="Z134" s="41"/>
      <c r="AA134" s="42">
        <v>29</v>
      </c>
      <c r="AB134" s="42"/>
    </row>
    <row r="135" spans="11:32" x14ac:dyDescent="0.3">
      <c r="O135" s="41"/>
      <c r="P135" s="41"/>
      <c r="Q135" s="42"/>
      <c r="R135" s="42"/>
      <c r="Y135" s="41"/>
      <c r="Z135" s="41"/>
      <c r="AA135" s="42"/>
      <c r="AB135" s="42"/>
    </row>
    <row r="136" spans="11:32" x14ac:dyDescent="0.3">
      <c r="O136" s="41"/>
      <c r="P136" s="41"/>
      <c r="Q136" s="42">
        <f>AA136-7</f>
        <v>24</v>
      </c>
      <c r="R136" s="42"/>
      <c r="Y136" s="41"/>
      <c r="Z136" s="41"/>
      <c r="AA136" s="42">
        <f>AA147</f>
        <v>31</v>
      </c>
      <c r="AB136" s="42"/>
    </row>
    <row r="137" spans="11:32" x14ac:dyDescent="0.3">
      <c r="O137" s="41"/>
      <c r="P137" s="41"/>
      <c r="Q137" s="42"/>
      <c r="R137" s="42"/>
      <c r="Y137" s="41"/>
      <c r="Z137" s="41"/>
      <c r="AA137" s="42"/>
      <c r="AB137" s="42"/>
    </row>
    <row r="145" spans="5:48" x14ac:dyDescent="0.3">
      <c r="E145" s="46">
        <v>1</v>
      </c>
      <c r="F145" s="46"/>
      <c r="G145" s="44">
        <v>0</v>
      </c>
      <c r="H145" s="44"/>
      <c r="O145" s="41">
        <v>3</v>
      </c>
      <c r="P145" s="41"/>
      <c r="Q145" s="42">
        <v>14</v>
      </c>
      <c r="R145" s="42"/>
      <c r="Y145" s="41">
        <v>6</v>
      </c>
      <c r="Z145" s="41"/>
      <c r="AA145" s="42">
        <v>31</v>
      </c>
      <c r="AB145" s="42"/>
      <c r="AI145" s="41">
        <v>8</v>
      </c>
      <c r="AJ145" s="41"/>
      <c r="AK145" s="42">
        <v>58</v>
      </c>
      <c r="AL145" s="42"/>
      <c r="AS145" s="47">
        <v>10</v>
      </c>
      <c r="AT145" s="47"/>
      <c r="AU145" s="45">
        <v>84</v>
      </c>
      <c r="AV145" s="45"/>
    </row>
    <row r="146" spans="5:48" x14ac:dyDescent="0.3">
      <c r="E146" s="46"/>
      <c r="F146" s="46"/>
      <c r="G146" s="44"/>
      <c r="H146" s="44"/>
      <c r="O146" s="41"/>
      <c r="P146" s="41"/>
      <c r="Q146" s="42"/>
      <c r="R146" s="42"/>
      <c r="Y146" s="41"/>
      <c r="Z146" s="41"/>
      <c r="AA146" s="42"/>
      <c r="AB146" s="42"/>
      <c r="AI146" s="41"/>
      <c r="AJ146" s="41"/>
      <c r="AK146" s="42"/>
      <c r="AL146" s="42"/>
      <c r="AS146" s="47"/>
      <c r="AT146" s="47"/>
      <c r="AU146" s="45"/>
      <c r="AV146" s="45"/>
    </row>
    <row r="147" spans="5:48" x14ac:dyDescent="0.3">
      <c r="E147" s="46"/>
      <c r="F147" s="46"/>
      <c r="G147" s="44">
        <v>0</v>
      </c>
      <c r="H147" s="44"/>
      <c r="O147" s="41"/>
      <c r="P147" s="41"/>
      <c r="Q147" s="42">
        <f>AA158-17</f>
        <v>14</v>
      </c>
      <c r="R147" s="42"/>
      <c r="Y147" s="41"/>
      <c r="Z147" s="41"/>
      <c r="AA147" s="42">
        <f>AK147-27</f>
        <v>31</v>
      </c>
      <c r="AB147" s="42"/>
      <c r="AI147" s="41"/>
      <c r="AJ147" s="41"/>
      <c r="AK147" s="42">
        <f>AU147-26</f>
        <v>58</v>
      </c>
      <c r="AL147" s="42"/>
      <c r="AS147" s="47"/>
      <c r="AT147" s="47"/>
      <c r="AU147" s="45">
        <v>84</v>
      </c>
      <c r="AV147" s="45"/>
    </row>
    <row r="148" spans="5:48" x14ac:dyDescent="0.3">
      <c r="E148" s="46"/>
      <c r="F148" s="46"/>
      <c r="G148" s="44"/>
      <c r="H148" s="44"/>
      <c r="O148" s="41"/>
      <c r="P148" s="41"/>
      <c r="Q148" s="42"/>
      <c r="R148" s="42"/>
      <c r="Y148" s="41"/>
      <c r="Z148" s="41"/>
      <c r="AA148" s="42"/>
      <c r="AB148" s="42"/>
      <c r="AI148" s="41"/>
      <c r="AJ148" s="41"/>
      <c r="AK148" s="42"/>
      <c r="AL148" s="42"/>
      <c r="AS148" s="47"/>
      <c r="AT148" s="47"/>
      <c r="AU148" s="45"/>
      <c r="AV148" s="45"/>
    </row>
    <row r="156" spans="5:48" x14ac:dyDescent="0.3">
      <c r="O156" s="41">
        <v>4</v>
      </c>
      <c r="P156" s="41"/>
      <c r="Q156" s="42">
        <v>2</v>
      </c>
      <c r="R156" s="42"/>
      <c r="Y156" s="41">
        <v>7</v>
      </c>
      <c r="Z156" s="41"/>
      <c r="AA156" s="42">
        <v>31</v>
      </c>
      <c r="AB156" s="42"/>
      <c r="AI156" s="41">
        <v>9</v>
      </c>
      <c r="AJ156" s="41"/>
      <c r="AK156" s="42">
        <v>58</v>
      </c>
      <c r="AL156" s="42"/>
    </row>
    <row r="157" spans="5:48" x14ac:dyDescent="0.3">
      <c r="O157" s="41"/>
      <c r="P157" s="41"/>
      <c r="Q157" s="42"/>
      <c r="R157" s="42"/>
      <c r="Y157" s="41"/>
      <c r="Z157" s="41"/>
      <c r="AA157" s="42"/>
      <c r="AB157" s="42"/>
      <c r="AI157" s="41"/>
      <c r="AJ157" s="41"/>
      <c r="AK157" s="42"/>
      <c r="AL157" s="42"/>
    </row>
    <row r="158" spans="5:48" x14ac:dyDescent="0.3">
      <c r="O158" s="41"/>
      <c r="P158" s="41"/>
      <c r="Q158" s="42">
        <f>AA158-4</f>
        <v>27</v>
      </c>
      <c r="R158" s="42"/>
      <c r="Y158" s="41"/>
      <c r="Z158" s="41"/>
      <c r="AA158" s="42">
        <f>AA147</f>
        <v>31</v>
      </c>
      <c r="AB158" s="42"/>
      <c r="AI158" s="41"/>
      <c r="AJ158" s="41"/>
      <c r="AK158" s="42">
        <v>62</v>
      </c>
      <c r="AL158" s="42"/>
    </row>
    <row r="159" spans="5:48" x14ac:dyDescent="0.3">
      <c r="O159" s="41"/>
      <c r="P159" s="41"/>
      <c r="Q159" s="42"/>
      <c r="R159" s="42"/>
      <c r="Y159" s="41"/>
      <c r="Z159" s="41"/>
      <c r="AA159" s="42"/>
      <c r="AB159" s="42"/>
      <c r="AI159" s="41"/>
      <c r="AJ159" s="41"/>
      <c r="AK159" s="42"/>
      <c r="AL159" s="42"/>
    </row>
    <row r="161" spans="7:40" ht="18" customHeight="1" x14ac:dyDescent="0.3">
      <c r="G161" s="1"/>
      <c r="H161" s="3"/>
      <c r="AM161" s="2"/>
      <c r="AN161" s="2"/>
    </row>
    <row r="162" spans="7:40" ht="18" customHeight="1" x14ac:dyDescent="0.3">
      <c r="G162" s="1"/>
      <c r="H162" s="3"/>
      <c r="AM162" s="2"/>
      <c r="AN162" s="2"/>
    </row>
    <row r="163" spans="7:40" ht="18" customHeight="1" x14ac:dyDescent="0.3">
      <c r="G163" s="1"/>
      <c r="H163" s="3"/>
      <c r="AM163" s="2"/>
      <c r="AN163" s="2"/>
    </row>
    <row r="164" spans="7:40" ht="18" customHeight="1" x14ac:dyDescent="0.3"/>
    <row r="165" spans="7:40" ht="18" customHeight="1" x14ac:dyDescent="0.3"/>
    <row r="166" spans="7:40" ht="18" customHeight="1" x14ac:dyDescent="0.3"/>
    <row r="167" spans="7:40" ht="18" customHeight="1" x14ac:dyDescent="0.3"/>
    <row r="168" spans="7:40" ht="18" customHeight="1" x14ac:dyDescent="0.3"/>
    <row r="169" spans="7:40" ht="18" customHeight="1" x14ac:dyDescent="0.3"/>
    <row r="170" spans="7:40" ht="18" customHeight="1" x14ac:dyDescent="0.3"/>
    <row r="171" spans="7:40" ht="18" customHeight="1" x14ac:dyDescent="0.3"/>
    <row r="172" spans="7:40" ht="18" customHeight="1" x14ac:dyDescent="0.3"/>
    <row r="173" spans="7:40" ht="18" customHeight="1" x14ac:dyDescent="0.3"/>
    <row r="174" spans="7:40" ht="18" customHeight="1" x14ac:dyDescent="0.3"/>
    <row r="175" spans="7:40" ht="18" customHeight="1" x14ac:dyDescent="0.3"/>
    <row r="176" spans="7:40" ht="18" customHeight="1" x14ac:dyDescent="0.3"/>
    <row r="177" ht="18" customHeight="1" x14ac:dyDescent="0.3"/>
    <row r="178" ht="18" customHeight="1" x14ac:dyDescent="0.3"/>
    <row r="179" ht="18" customHeight="1" x14ac:dyDescent="0.3"/>
    <row r="180" ht="18" customHeight="1" x14ac:dyDescent="0.3"/>
    <row r="181" ht="18" customHeight="1" x14ac:dyDescent="0.3"/>
    <row r="182" ht="18" customHeight="1" x14ac:dyDescent="0.3"/>
    <row r="183" ht="18" customHeight="1" x14ac:dyDescent="0.3"/>
    <row r="184" ht="18" customHeight="1" x14ac:dyDescent="0.3"/>
    <row r="185" ht="18" customHeight="1" x14ac:dyDescent="0.3"/>
    <row r="186" ht="18" customHeight="1" x14ac:dyDescent="0.3"/>
    <row r="187" ht="18" customHeight="1" x14ac:dyDescent="0.3"/>
    <row r="188" ht="18" customHeight="1" x14ac:dyDescent="0.3"/>
    <row r="189" ht="18" customHeight="1" x14ac:dyDescent="0.3"/>
    <row r="190" ht="18" customHeight="1" x14ac:dyDescent="0.3"/>
    <row r="191" ht="18" customHeight="1" x14ac:dyDescent="0.3"/>
    <row r="192" ht="18" customHeight="1" x14ac:dyDescent="0.3"/>
    <row r="193" ht="18" customHeight="1" x14ac:dyDescent="0.3"/>
    <row r="194" ht="18" customHeight="1" x14ac:dyDescent="0.3"/>
    <row r="195" ht="18" customHeight="1" x14ac:dyDescent="0.3"/>
    <row r="196" ht="18" customHeight="1" x14ac:dyDescent="0.3"/>
    <row r="197" ht="18" customHeight="1" x14ac:dyDescent="0.3"/>
    <row r="198" ht="18" customHeight="1" x14ac:dyDescent="0.3"/>
    <row r="199" ht="18" customHeight="1" x14ac:dyDescent="0.3"/>
    <row r="200" ht="18" customHeight="1" x14ac:dyDescent="0.3"/>
    <row r="201" ht="18" customHeight="1" x14ac:dyDescent="0.3"/>
    <row r="202" ht="18" customHeight="1" x14ac:dyDescent="0.3"/>
    <row r="203" ht="18" customHeight="1" x14ac:dyDescent="0.3"/>
    <row r="204" ht="18" customHeight="1" x14ac:dyDescent="0.3"/>
    <row r="205" ht="18" customHeight="1" x14ac:dyDescent="0.3"/>
    <row r="206" ht="18" customHeight="1" x14ac:dyDescent="0.3"/>
    <row r="207" ht="18" customHeight="1" x14ac:dyDescent="0.3"/>
    <row r="208" ht="18" customHeight="1" x14ac:dyDescent="0.3"/>
    <row r="209" ht="18" customHeight="1" x14ac:dyDescent="0.3"/>
    <row r="210" ht="18" customHeight="1" x14ac:dyDescent="0.3"/>
    <row r="211" ht="18" customHeight="1" x14ac:dyDescent="0.3"/>
    <row r="212" ht="18" customHeight="1" x14ac:dyDescent="0.3"/>
    <row r="213" ht="18" customHeight="1" x14ac:dyDescent="0.3"/>
    <row r="214" ht="18" customHeight="1" x14ac:dyDescent="0.3"/>
    <row r="215" ht="18" customHeight="1" x14ac:dyDescent="0.3"/>
    <row r="216" ht="18" customHeight="1" x14ac:dyDescent="0.3"/>
    <row r="217" ht="18" customHeight="1" x14ac:dyDescent="0.3"/>
    <row r="218" ht="18" customHeight="1" x14ac:dyDescent="0.3"/>
    <row r="219" ht="18" customHeight="1" x14ac:dyDescent="0.3"/>
    <row r="220" ht="18" customHeight="1" x14ac:dyDescent="0.3"/>
    <row r="221" ht="18" customHeight="1" x14ac:dyDescent="0.3"/>
    <row r="222" ht="18" customHeight="1" x14ac:dyDescent="0.3"/>
    <row r="223" ht="18" customHeight="1" x14ac:dyDescent="0.3"/>
    <row r="224" ht="18" customHeight="1" x14ac:dyDescent="0.3"/>
    <row r="225" ht="18" customHeight="1" x14ac:dyDescent="0.3"/>
    <row r="226" ht="18" customHeight="1" x14ac:dyDescent="0.3"/>
    <row r="227" ht="18" customHeight="1" x14ac:dyDescent="0.3"/>
    <row r="228" ht="18" customHeight="1" x14ac:dyDescent="0.3"/>
    <row r="229" ht="18" customHeight="1" x14ac:dyDescent="0.3"/>
    <row r="230" ht="18" customHeight="1" x14ac:dyDescent="0.3"/>
    <row r="231" ht="18" customHeight="1" x14ac:dyDescent="0.3"/>
    <row r="232" ht="18" customHeight="1" x14ac:dyDescent="0.3"/>
    <row r="233" ht="18" customHeight="1" x14ac:dyDescent="0.3"/>
    <row r="234" ht="18" customHeight="1" x14ac:dyDescent="0.3"/>
    <row r="235" ht="18" customHeight="1" x14ac:dyDescent="0.3"/>
    <row r="236" ht="18" customHeight="1" x14ac:dyDescent="0.3"/>
    <row r="237" ht="18" customHeight="1" x14ac:dyDescent="0.3"/>
    <row r="238" ht="18" customHeight="1" x14ac:dyDescent="0.3"/>
    <row r="239" ht="18" customHeight="1" x14ac:dyDescent="0.3"/>
    <row r="240" ht="18" customHeight="1" x14ac:dyDescent="0.3"/>
    <row r="241" ht="18" customHeight="1" x14ac:dyDescent="0.3"/>
    <row r="242" ht="18" customHeight="1" x14ac:dyDescent="0.3"/>
    <row r="243" ht="18" customHeight="1" x14ac:dyDescent="0.3"/>
    <row r="244" ht="18" customHeight="1" x14ac:dyDescent="0.3"/>
    <row r="245" ht="18" customHeight="1" x14ac:dyDescent="0.3"/>
    <row r="246" ht="18" customHeight="1" x14ac:dyDescent="0.3"/>
    <row r="247" ht="18" customHeight="1" x14ac:dyDescent="0.3"/>
    <row r="248" ht="18" customHeight="1" x14ac:dyDescent="0.3"/>
    <row r="249" ht="18" customHeight="1" x14ac:dyDescent="0.3"/>
    <row r="250" ht="18" customHeight="1" x14ac:dyDescent="0.3"/>
    <row r="251" ht="18" customHeight="1" x14ac:dyDescent="0.3"/>
    <row r="252" ht="18" customHeight="1" x14ac:dyDescent="0.3"/>
    <row r="253" ht="18" customHeight="1" x14ac:dyDescent="0.3"/>
    <row r="254" ht="18" customHeight="1" x14ac:dyDescent="0.3"/>
    <row r="255" ht="18" customHeight="1" x14ac:dyDescent="0.3"/>
    <row r="256" ht="18" customHeight="1" x14ac:dyDescent="0.3"/>
    <row r="257" ht="18" customHeight="1" x14ac:dyDescent="0.3"/>
    <row r="258" ht="18" customHeight="1" x14ac:dyDescent="0.3"/>
    <row r="259" ht="18" customHeight="1" x14ac:dyDescent="0.3"/>
    <row r="260" ht="18" customHeight="1" x14ac:dyDescent="0.3"/>
    <row r="261" ht="18" customHeight="1" x14ac:dyDescent="0.3"/>
    <row r="262" ht="18" customHeight="1" x14ac:dyDescent="0.3"/>
    <row r="263" ht="18" customHeight="1" x14ac:dyDescent="0.3"/>
    <row r="264" ht="18" customHeight="1" x14ac:dyDescent="0.3"/>
    <row r="265" ht="18" customHeight="1" x14ac:dyDescent="0.3"/>
    <row r="266" ht="18" customHeight="1" x14ac:dyDescent="0.3"/>
    <row r="267" ht="18" customHeight="1" x14ac:dyDescent="0.3"/>
    <row r="268" ht="18" customHeight="1" x14ac:dyDescent="0.3"/>
    <row r="269" ht="18" customHeight="1" x14ac:dyDescent="0.3"/>
    <row r="270" ht="18" customHeight="1" x14ac:dyDescent="0.3"/>
    <row r="271" ht="18" customHeight="1" x14ac:dyDescent="0.3"/>
    <row r="272" ht="18" customHeight="1" x14ac:dyDescent="0.3"/>
    <row r="273" ht="18" customHeight="1" x14ac:dyDescent="0.3"/>
    <row r="274" ht="18" customHeight="1" x14ac:dyDescent="0.3"/>
    <row r="275" ht="18" customHeight="1" x14ac:dyDescent="0.3"/>
    <row r="276" ht="18" customHeight="1" x14ac:dyDescent="0.3"/>
    <row r="277" ht="18" customHeight="1" x14ac:dyDescent="0.3"/>
    <row r="278" ht="18" customHeight="1" x14ac:dyDescent="0.3"/>
    <row r="279" ht="18" customHeight="1" x14ac:dyDescent="0.3"/>
    <row r="280" ht="18" customHeight="1" x14ac:dyDescent="0.3"/>
    <row r="281" ht="18" customHeight="1" x14ac:dyDescent="0.3"/>
    <row r="282" ht="18" customHeight="1" x14ac:dyDescent="0.3"/>
    <row r="283" ht="18" customHeight="1" x14ac:dyDescent="0.3"/>
    <row r="284" ht="18" customHeight="1" x14ac:dyDescent="0.3"/>
    <row r="285" ht="18" customHeight="1" x14ac:dyDescent="0.3"/>
    <row r="286" ht="18" customHeight="1" x14ac:dyDescent="0.3"/>
    <row r="287" ht="18" customHeight="1" x14ac:dyDescent="0.3"/>
    <row r="288" ht="18" customHeight="1" x14ac:dyDescent="0.3"/>
    <row r="289" ht="18" customHeight="1" x14ac:dyDescent="0.3"/>
    <row r="290" ht="18" customHeight="1" x14ac:dyDescent="0.3"/>
    <row r="291" ht="18" customHeight="1" x14ac:dyDescent="0.3"/>
    <row r="292" ht="18" customHeight="1" x14ac:dyDescent="0.3"/>
    <row r="293" ht="18" customHeight="1" x14ac:dyDescent="0.3"/>
    <row r="294" ht="18" customHeight="1" x14ac:dyDescent="0.3"/>
    <row r="295" ht="18" customHeight="1" x14ac:dyDescent="0.3"/>
    <row r="296" ht="18" customHeight="1" x14ac:dyDescent="0.3"/>
    <row r="297" ht="18" customHeight="1" x14ac:dyDescent="0.3"/>
    <row r="298" ht="18" customHeight="1" x14ac:dyDescent="0.3"/>
    <row r="299" ht="18" customHeight="1" x14ac:dyDescent="0.3"/>
    <row r="300" ht="18" customHeight="1" x14ac:dyDescent="0.3"/>
    <row r="301" ht="18" customHeight="1" x14ac:dyDescent="0.3"/>
    <row r="302" ht="18" customHeight="1" x14ac:dyDescent="0.3"/>
    <row r="303" ht="18" customHeight="1" x14ac:dyDescent="0.3"/>
    <row r="304" ht="18" customHeight="1" x14ac:dyDescent="0.3"/>
    <row r="305" ht="18" customHeight="1" x14ac:dyDescent="0.3"/>
    <row r="306" ht="18" customHeight="1" x14ac:dyDescent="0.3"/>
    <row r="307" ht="18" customHeight="1" x14ac:dyDescent="0.3"/>
    <row r="308" ht="18" customHeight="1" x14ac:dyDescent="0.3"/>
    <row r="309" ht="18" customHeight="1" x14ac:dyDescent="0.3"/>
    <row r="310" ht="18" customHeight="1" x14ac:dyDescent="0.3"/>
    <row r="311" ht="18" customHeight="1" x14ac:dyDescent="0.3"/>
    <row r="312" ht="18" customHeight="1" x14ac:dyDescent="0.3"/>
    <row r="313" ht="18" customHeight="1" x14ac:dyDescent="0.3"/>
    <row r="314" ht="18" customHeight="1" x14ac:dyDescent="0.3"/>
    <row r="315" ht="18" customHeight="1" x14ac:dyDescent="0.3"/>
    <row r="316" ht="18" customHeight="1" x14ac:dyDescent="0.3"/>
    <row r="317" ht="18" customHeight="1" x14ac:dyDescent="0.3"/>
    <row r="318" ht="18" customHeight="1" x14ac:dyDescent="0.3"/>
    <row r="319" ht="18" customHeight="1" x14ac:dyDescent="0.3"/>
    <row r="320" ht="18" customHeight="1" x14ac:dyDescent="0.3"/>
    <row r="321" ht="18" customHeight="1" x14ac:dyDescent="0.3"/>
    <row r="322" ht="18" customHeight="1" x14ac:dyDescent="0.3"/>
    <row r="323" ht="18" customHeight="1" x14ac:dyDescent="0.3"/>
    <row r="324" ht="18" customHeight="1" x14ac:dyDescent="0.3"/>
    <row r="325" ht="18" customHeight="1" x14ac:dyDescent="0.3"/>
    <row r="326" ht="18" customHeight="1" x14ac:dyDescent="0.3"/>
    <row r="327" ht="18" customHeight="1" x14ac:dyDescent="0.3"/>
    <row r="328" ht="18" customHeight="1" x14ac:dyDescent="0.3"/>
    <row r="329" ht="18" customHeight="1" x14ac:dyDescent="0.3"/>
    <row r="330" ht="18" customHeight="1" x14ac:dyDescent="0.3"/>
    <row r="331" ht="18" customHeight="1" x14ac:dyDescent="0.3"/>
    <row r="332" ht="18" customHeight="1" x14ac:dyDescent="0.3"/>
    <row r="333" ht="18" customHeight="1" x14ac:dyDescent="0.3"/>
    <row r="334" ht="18" customHeight="1" x14ac:dyDescent="0.3"/>
    <row r="335" ht="18" customHeight="1" x14ac:dyDescent="0.3"/>
    <row r="336" ht="18" customHeight="1" x14ac:dyDescent="0.3"/>
    <row r="337" ht="18" customHeight="1" x14ac:dyDescent="0.3"/>
    <row r="338" ht="18" customHeight="1" x14ac:dyDescent="0.3"/>
    <row r="339" ht="18" customHeight="1" x14ac:dyDescent="0.3"/>
    <row r="340" ht="18" customHeight="1" x14ac:dyDescent="0.3"/>
    <row r="341" ht="18" customHeight="1" x14ac:dyDescent="0.3"/>
    <row r="342" ht="18" customHeight="1" x14ac:dyDescent="0.3"/>
    <row r="343" ht="18" customHeight="1" x14ac:dyDescent="0.3"/>
    <row r="344" ht="18" customHeight="1" x14ac:dyDescent="0.3"/>
    <row r="345" ht="18" customHeight="1" x14ac:dyDescent="0.3"/>
    <row r="346" ht="18" customHeight="1" x14ac:dyDescent="0.3"/>
    <row r="347" ht="18" customHeight="1" x14ac:dyDescent="0.3"/>
    <row r="348" ht="18" customHeight="1" x14ac:dyDescent="0.3"/>
    <row r="349" ht="18" customHeight="1" x14ac:dyDescent="0.3"/>
    <row r="350" ht="18" customHeight="1" x14ac:dyDescent="0.3"/>
    <row r="351" ht="18" customHeight="1" x14ac:dyDescent="0.3"/>
    <row r="352" ht="18" customHeight="1" x14ac:dyDescent="0.3"/>
    <row r="353" ht="18" customHeight="1" x14ac:dyDescent="0.3"/>
    <row r="354" ht="18" customHeight="1" x14ac:dyDescent="0.3"/>
    <row r="355" ht="18" customHeight="1" x14ac:dyDescent="0.3"/>
    <row r="356" ht="18" customHeight="1" x14ac:dyDescent="0.3"/>
    <row r="357" ht="18" customHeight="1" x14ac:dyDescent="0.3"/>
    <row r="358" ht="18" customHeight="1" x14ac:dyDescent="0.3"/>
    <row r="359" ht="18" customHeight="1" x14ac:dyDescent="0.3"/>
    <row r="360" ht="18" customHeight="1" x14ac:dyDescent="0.3"/>
    <row r="361" ht="18" customHeight="1" x14ac:dyDescent="0.3"/>
    <row r="362" ht="18" customHeight="1" x14ac:dyDescent="0.3"/>
    <row r="363" ht="18" customHeight="1" x14ac:dyDescent="0.3"/>
    <row r="364" ht="18" customHeight="1" x14ac:dyDescent="0.3"/>
    <row r="365" ht="18" customHeight="1" x14ac:dyDescent="0.3"/>
    <row r="366" ht="18" customHeight="1" x14ac:dyDescent="0.3"/>
    <row r="367" ht="18" customHeight="1" x14ac:dyDescent="0.3"/>
    <row r="368" ht="18" customHeight="1" x14ac:dyDescent="0.3"/>
    <row r="369" ht="18" customHeight="1" x14ac:dyDescent="0.3"/>
    <row r="370" ht="18" customHeight="1" x14ac:dyDescent="0.3"/>
    <row r="371" ht="18" customHeight="1" x14ac:dyDescent="0.3"/>
    <row r="372" ht="18" customHeight="1" x14ac:dyDescent="0.3"/>
    <row r="373" ht="18" customHeight="1" x14ac:dyDescent="0.3"/>
    <row r="374" ht="18" customHeight="1" x14ac:dyDescent="0.3"/>
    <row r="375" ht="18" customHeight="1" x14ac:dyDescent="0.3"/>
    <row r="376" ht="18" customHeight="1" x14ac:dyDescent="0.3"/>
    <row r="377" ht="18" customHeight="1" x14ac:dyDescent="0.3"/>
    <row r="378" ht="18" customHeight="1" x14ac:dyDescent="0.3"/>
    <row r="379" ht="18" customHeight="1" x14ac:dyDescent="0.3"/>
    <row r="380" ht="18" customHeight="1" x14ac:dyDescent="0.3"/>
    <row r="381" ht="18" customHeight="1" x14ac:dyDescent="0.3"/>
    <row r="382" ht="18" customHeight="1" x14ac:dyDescent="0.3"/>
    <row r="383" ht="18" customHeight="1" x14ac:dyDescent="0.3"/>
    <row r="384" ht="18" customHeight="1" x14ac:dyDescent="0.3"/>
    <row r="385" ht="18" customHeight="1" x14ac:dyDescent="0.3"/>
    <row r="386" ht="18" customHeight="1" x14ac:dyDescent="0.3"/>
    <row r="387" ht="18" customHeight="1" x14ac:dyDescent="0.3"/>
    <row r="388" ht="18" customHeight="1" x14ac:dyDescent="0.3"/>
    <row r="389" ht="18" customHeight="1" x14ac:dyDescent="0.3"/>
    <row r="390" ht="18" customHeight="1" x14ac:dyDescent="0.3"/>
    <row r="391" ht="18" customHeight="1" x14ac:dyDescent="0.3"/>
    <row r="392" ht="18" customHeight="1" x14ac:dyDescent="0.3"/>
    <row r="393" ht="18" customHeight="1" x14ac:dyDescent="0.3"/>
    <row r="394" ht="18" customHeight="1" x14ac:dyDescent="0.3"/>
    <row r="395" ht="18" customHeight="1" x14ac:dyDescent="0.3"/>
    <row r="396" ht="18" customHeight="1" x14ac:dyDescent="0.3"/>
    <row r="397" ht="18" customHeight="1" x14ac:dyDescent="0.3"/>
    <row r="398" ht="18" customHeight="1" x14ac:dyDescent="0.3"/>
    <row r="399" ht="18" customHeight="1" x14ac:dyDescent="0.3"/>
    <row r="400" ht="18" customHeight="1" x14ac:dyDescent="0.3"/>
    <row r="401" ht="18" customHeight="1" x14ac:dyDescent="0.3"/>
    <row r="402" ht="18" customHeight="1" x14ac:dyDescent="0.3"/>
  </sheetData>
  <mergeCells count="328">
    <mergeCell ref="O156:P159"/>
    <mergeCell ref="Q156:R157"/>
    <mergeCell ref="Y156:Z159"/>
    <mergeCell ref="AA156:AB157"/>
    <mergeCell ref="AI156:AJ159"/>
    <mergeCell ref="AK156:AL157"/>
    <mergeCell ref="Q158:R159"/>
    <mergeCell ref="AA158:AB159"/>
    <mergeCell ref="AK158:AL159"/>
    <mergeCell ref="AI145:AJ148"/>
    <mergeCell ref="AK145:AL146"/>
    <mergeCell ref="AS145:AT148"/>
    <mergeCell ref="AU145:AV146"/>
    <mergeCell ref="G147:H148"/>
    <mergeCell ref="Q147:R148"/>
    <mergeCell ref="AA147:AB148"/>
    <mergeCell ref="AK147:AL148"/>
    <mergeCell ref="AU147:AV148"/>
    <mergeCell ref="E145:F148"/>
    <mergeCell ref="G145:H146"/>
    <mergeCell ref="O145:P148"/>
    <mergeCell ref="Q145:R146"/>
    <mergeCell ref="Y145:Z148"/>
    <mergeCell ref="AA145:AB146"/>
    <mergeCell ref="O134:P137"/>
    <mergeCell ref="Q134:R135"/>
    <mergeCell ref="Y134:Z137"/>
    <mergeCell ref="AA134:AB135"/>
    <mergeCell ref="Q136:R137"/>
    <mergeCell ref="AA136:AB137"/>
    <mergeCell ref="U120:V120"/>
    <mergeCell ref="W120:X120"/>
    <mergeCell ref="Y120:Z120"/>
    <mergeCell ref="AA120:AB120"/>
    <mergeCell ref="AC120:AD120"/>
    <mergeCell ref="K130:AF131"/>
    <mergeCell ref="G120:I120"/>
    <mergeCell ref="J120:L120"/>
    <mergeCell ref="M120:N120"/>
    <mergeCell ref="O120:P120"/>
    <mergeCell ref="Q120:R120"/>
    <mergeCell ref="S120:T120"/>
    <mergeCell ref="S119:T119"/>
    <mergeCell ref="U119:V119"/>
    <mergeCell ref="W119:X119"/>
    <mergeCell ref="Y119:Z119"/>
    <mergeCell ref="AA119:AB119"/>
    <mergeCell ref="AC119:AD119"/>
    <mergeCell ref="U118:V118"/>
    <mergeCell ref="W118:X118"/>
    <mergeCell ref="Y118:Z118"/>
    <mergeCell ref="AA118:AB118"/>
    <mergeCell ref="AC118:AD118"/>
    <mergeCell ref="S118:T118"/>
    <mergeCell ref="G119:I119"/>
    <mergeCell ref="J119:L119"/>
    <mergeCell ref="M119:N119"/>
    <mergeCell ref="O119:P119"/>
    <mergeCell ref="Q119:R119"/>
    <mergeCell ref="G118:I118"/>
    <mergeCell ref="J118:L118"/>
    <mergeCell ref="M118:N118"/>
    <mergeCell ref="O118:P118"/>
    <mergeCell ref="Q118:R118"/>
    <mergeCell ref="S117:T117"/>
    <mergeCell ref="U117:V117"/>
    <mergeCell ref="W117:X117"/>
    <mergeCell ref="Y117:Z117"/>
    <mergeCell ref="AA117:AB117"/>
    <mergeCell ref="AC117:AD117"/>
    <mergeCell ref="U116:V116"/>
    <mergeCell ref="W116:X116"/>
    <mergeCell ref="Y116:Z116"/>
    <mergeCell ref="AA116:AB116"/>
    <mergeCell ref="AC116:AD116"/>
    <mergeCell ref="S116:T116"/>
    <mergeCell ref="G117:I117"/>
    <mergeCell ref="J117:L117"/>
    <mergeCell ref="M117:N117"/>
    <mergeCell ref="O117:P117"/>
    <mergeCell ref="Q117:R117"/>
    <mergeCell ref="G116:I116"/>
    <mergeCell ref="J116:L116"/>
    <mergeCell ref="M116:N116"/>
    <mergeCell ref="O116:P116"/>
    <mergeCell ref="Q116:R116"/>
    <mergeCell ref="S115:T115"/>
    <mergeCell ref="U115:V115"/>
    <mergeCell ref="W115:X115"/>
    <mergeCell ref="Y115:Z115"/>
    <mergeCell ref="AA115:AB115"/>
    <mergeCell ref="AC115:AD115"/>
    <mergeCell ref="U114:V114"/>
    <mergeCell ref="W114:X114"/>
    <mergeCell ref="Y114:Z114"/>
    <mergeCell ref="AA114:AB114"/>
    <mergeCell ref="AC114:AD114"/>
    <mergeCell ref="S114:T114"/>
    <mergeCell ref="G115:I115"/>
    <mergeCell ref="J115:L115"/>
    <mergeCell ref="M115:N115"/>
    <mergeCell ref="O115:P115"/>
    <mergeCell ref="Q115:R115"/>
    <mergeCell ref="G114:I114"/>
    <mergeCell ref="J114:L114"/>
    <mergeCell ref="M114:N114"/>
    <mergeCell ref="O114:P114"/>
    <mergeCell ref="Q114:R114"/>
    <mergeCell ref="S113:T113"/>
    <mergeCell ref="U113:V113"/>
    <mergeCell ref="W113:X113"/>
    <mergeCell ref="Y113:Z113"/>
    <mergeCell ref="AA113:AB113"/>
    <mergeCell ref="AC113:AD113"/>
    <mergeCell ref="U112:V112"/>
    <mergeCell ref="W112:X112"/>
    <mergeCell ref="Y112:Z112"/>
    <mergeCell ref="AA112:AB112"/>
    <mergeCell ref="AC112:AD112"/>
    <mergeCell ref="S112:T112"/>
    <mergeCell ref="G113:I113"/>
    <mergeCell ref="J113:L113"/>
    <mergeCell ref="M113:N113"/>
    <mergeCell ref="O113:P113"/>
    <mergeCell ref="Q113:R113"/>
    <mergeCell ref="G112:I112"/>
    <mergeCell ref="J112:L112"/>
    <mergeCell ref="M112:N112"/>
    <mergeCell ref="O112:P112"/>
    <mergeCell ref="Q112:R112"/>
    <mergeCell ref="S111:T111"/>
    <mergeCell ref="U111:V111"/>
    <mergeCell ref="W111:X111"/>
    <mergeCell ref="Y111:Z111"/>
    <mergeCell ref="AA111:AB111"/>
    <mergeCell ref="AC111:AD111"/>
    <mergeCell ref="U110:V110"/>
    <mergeCell ref="W110:X110"/>
    <mergeCell ref="Y110:Z110"/>
    <mergeCell ref="AA110:AB110"/>
    <mergeCell ref="AC110:AD110"/>
    <mergeCell ref="S110:T110"/>
    <mergeCell ref="G111:I111"/>
    <mergeCell ref="J111:L111"/>
    <mergeCell ref="M111:N111"/>
    <mergeCell ref="O111:P111"/>
    <mergeCell ref="Q111:R111"/>
    <mergeCell ref="G110:I110"/>
    <mergeCell ref="J110:L110"/>
    <mergeCell ref="M110:N110"/>
    <mergeCell ref="O110:P110"/>
    <mergeCell ref="Q110:R110"/>
    <mergeCell ref="S109:T109"/>
    <mergeCell ref="U109:V109"/>
    <mergeCell ref="W109:X109"/>
    <mergeCell ref="Y109:Z109"/>
    <mergeCell ref="AA109:AB109"/>
    <mergeCell ref="AC109:AD109"/>
    <mergeCell ref="U108:V108"/>
    <mergeCell ref="W108:X108"/>
    <mergeCell ref="Y108:Z108"/>
    <mergeCell ref="AA108:AB108"/>
    <mergeCell ref="AC108:AD108"/>
    <mergeCell ref="S108:T108"/>
    <mergeCell ref="G109:I109"/>
    <mergeCell ref="J109:L109"/>
    <mergeCell ref="M109:N109"/>
    <mergeCell ref="O109:P109"/>
    <mergeCell ref="Q109:R109"/>
    <mergeCell ref="G108:I108"/>
    <mergeCell ref="J108:L108"/>
    <mergeCell ref="M108:N108"/>
    <mergeCell ref="O108:P108"/>
    <mergeCell ref="Q108:R108"/>
    <mergeCell ref="S107:T107"/>
    <mergeCell ref="U107:V107"/>
    <mergeCell ref="W107:X107"/>
    <mergeCell ref="Y107:Z107"/>
    <mergeCell ref="AA107:AB107"/>
    <mergeCell ref="AC107:AD107"/>
    <mergeCell ref="U106:V106"/>
    <mergeCell ref="W106:X106"/>
    <mergeCell ref="Y106:Z106"/>
    <mergeCell ref="AA106:AB106"/>
    <mergeCell ref="AC106:AD106"/>
    <mergeCell ref="G107:I107"/>
    <mergeCell ref="J107:L107"/>
    <mergeCell ref="M107:N107"/>
    <mergeCell ref="O107:P107"/>
    <mergeCell ref="Q107:R107"/>
    <mergeCell ref="W104:X105"/>
    <mergeCell ref="Y104:Z105"/>
    <mergeCell ref="AA104:AB105"/>
    <mergeCell ref="AC104:AD105"/>
    <mergeCell ref="G106:I106"/>
    <mergeCell ref="J106:L106"/>
    <mergeCell ref="M106:N106"/>
    <mergeCell ref="O106:P106"/>
    <mergeCell ref="Q106:R106"/>
    <mergeCell ref="S106:T106"/>
    <mergeCell ref="G103:I105"/>
    <mergeCell ref="J103:L105"/>
    <mergeCell ref="M103:R103"/>
    <mergeCell ref="S103:X103"/>
    <mergeCell ref="Y103:AD103"/>
    <mergeCell ref="M104:N105"/>
    <mergeCell ref="O104:P105"/>
    <mergeCell ref="Q104:R105"/>
    <mergeCell ref="S104:T105"/>
    <mergeCell ref="B88:C91"/>
    <mergeCell ref="D88:E89"/>
    <mergeCell ref="F88:I89"/>
    <mergeCell ref="D90:E91"/>
    <mergeCell ref="F90:I91"/>
    <mergeCell ref="G100:AD101"/>
    <mergeCell ref="O82:P85"/>
    <mergeCell ref="Q82:R83"/>
    <mergeCell ref="Y82:Z85"/>
    <mergeCell ref="AA82:AB83"/>
    <mergeCell ref="AK82:AL83"/>
    <mergeCell ref="Q84:R85"/>
    <mergeCell ref="AA84:AB85"/>
    <mergeCell ref="AK84:AL85"/>
    <mergeCell ref="AI71:AJ74"/>
    <mergeCell ref="AK71:AL72"/>
    <mergeCell ref="AS71:AT74"/>
    <mergeCell ref="AU71:AV72"/>
    <mergeCell ref="U104:V105"/>
    <mergeCell ref="G73:H74"/>
    <mergeCell ref="Q73:R74"/>
    <mergeCell ref="AA73:AB74"/>
    <mergeCell ref="AK73:AL74"/>
    <mergeCell ref="AU73:AV74"/>
    <mergeCell ref="AA62:AB63"/>
    <mergeCell ref="E71:F74"/>
    <mergeCell ref="G71:H72"/>
    <mergeCell ref="O71:P74"/>
    <mergeCell ref="Q71:R72"/>
    <mergeCell ref="Y71:Z74"/>
    <mergeCell ref="AA71:AB72"/>
    <mergeCell ref="V19:X19"/>
    <mergeCell ref="Y19:AB19"/>
    <mergeCell ref="AC19:AE19"/>
    <mergeCell ref="AF19:AH19"/>
    <mergeCell ref="K56:AF57"/>
    <mergeCell ref="O60:P63"/>
    <mergeCell ref="Q60:R61"/>
    <mergeCell ref="Y60:Z63"/>
    <mergeCell ref="AA60:AB61"/>
    <mergeCell ref="Q62:R63"/>
    <mergeCell ref="B6:S22"/>
    <mergeCell ref="V17:X17"/>
    <mergeCell ref="Y17:AB17"/>
    <mergeCell ref="AC17:AE17"/>
    <mergeCell ref="AF17:AH17"/>
    <mergeCell ref="V18:X18"/>
    <mergeCell ref="Y18:AB18"/>
    <mergeCell ref="AC18:AE18"/>
    <mergeCell ref="AF18:AH18"/>
    <mergeCell ref="V15:X15"/>
    <mergeCell ref="Y15:AB15"/>
    <mergeCell ref="AC15:AE15"/>
    <mergeCell ref="AF15:AH15"/>
    <mergeCell ref="V16:X16"/>
    <mergeCell ref="Y16:AB16"/>
    <mergeCell ref="AC16:AE16"/>
    <mergeCell ref="AF16:AH16"/>
    <mergeCell ref="V13:X13"/>
    <mergeCell ref="Y13:AB13"/>
    <mergeCell ref="AC13:AE13"/>
    <mergeCell ref="AF13:AH13"/>
    <mergeCell ref="V14:X14"/>
    <mergeCell ref="Y14:AB14"/>
    <mergeCell ref="AC14:AE14"/>
    <mergeCell ref="AF14:AH14"/>
    <mergeCell ref="V11:X11"/>
    <mergeCell ref="Y11:AB11"/>
    <mergeCell ref="AC11:AE11"/>
    <mergeCell ref="AF11:AH11"/>
    <mergeCell ref="V12:X12"/>
    <mergeCell ref="Y12:AB12"/>
    <mergeCell ref="AC12:AE12"/>
    <mergeCell ref="AF12:AH12"/>
    <mergeCell ref="V9:X9"/>
    <mergeCell ref="Y9:AB9"/>
    <mergeCell ref="AC9:AE9"/>
    <mergeCell ref="AF9:AH9"/>
    <mergeCell ref="V10:X10"/>
    <mergeCell ref="Y10:AB10"/>
    <mergeCell ref="AC10:AE10"/>
    <mergeCell ref="AF10:AH10"/>
    <mergeCell ref="V4:AE4"/>
    <mergeCell ref="V6:X7"/>
    <mergeCell ref="Y6:AB7"/>
    <mergeCell ref="AC6:AE7"/>
    <mergeCell ref="AF6:AH7"/>
    <mergeCell ref="V8:X8"/>
    <mergeCell ref="Y8:AB8"/>
    <mergeCell ref="AC8:AE8"/>
    <mergeCell ref="AF8:AH8"/>
    <mergeCell ref="AI8:AJ8"/>
    <mergeCell ref="AI9:AJ9"/>
    <mergeCell ref="AI10:AJ10"/>
    <mergeCell ref="AI11:AJ11"/>
    <mergeCell ref="AI12:AJ12"/>
    <mergeCell ref="AI13:AJ13"/>
    <mergeCell ref="AI14:AJ14"/>
    <mergeCell ref="AI15:AJ15"/>
    <mergeCell ref="AI16:AJ16"/>
    <mergeCell ref="AI17:AJ17"/>
    <mergeCell ref="AI18:AJ18"/>
    <mergeCell ref="AI19:AJ19"/>
    <mergeCell ref="AG106:AH106"/>
    <mergeCell ref="AG107:AH107"/>
    <mergeCell ref="AG108:AH108"/>
    <mergeCell ref="AG109:AH109"/>
    <mergeCell ref="AG110:AH110"/>
    <mergeCell ref="AG111:AH111"/>
    <mergeCell ref="AI82:AJ85"/>
    <mergeCell ref="AG112:AH112"/>
    <mergeCell ref="AG113:AH113"/>
    <mergeCell ref="AG114:AH114"/>
    <mergeCell ref="AG115:AH115"/>
    <mergeCell ref="AG116:AH116"/>
    <mergeCell ref="AG117:AH117"/>
    <mergeCell ref="AG118:AH118"/>
    <mergeCell ref="AG119:AH119"/>
    <mergeCell ref="AG120:AH120"/>
  </mergeCells>
  <pageMargins left="0.7" right="0.7" top="0.75" bottom="0.75" header="0.3" footer="0.3"/>
  <pageSetup paperSize="8" scale="4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DDAC2-86F6-47EC-AC85-B9501BAA1A0E}">
  <sheetPr>
    <pageSetUpPr fitToPage="1"/>
  </sheetPr>
  <dimension ref="B4:CQ328"/>
  <sheetViews>
    <sheetView showGridLines="0" tabSelected="1" topLeftCell="A18" zoomScale="90" zoomScaleNormal="90" workbookViewId="0">
      <selection activeCell="Q87" sqref="Q87"/>
    </sheetView>
  </sheetViews>
  <sheetFormatPr baseColWidth="10" defaultColWidth="9.21875" defaultRowHeight="14.4" x14ac:dyDescent="0.3"/>
  <cols>
    <col min="1" max="3" width="3.21875" customWidth="1"/>
    <col min="4" max="94" width="3" customWidth="1"/>
    <col min="95" max="126" width="4.44140625" customWidth="1"/>
  </cols>
  <sheetData>
    <row r="4" spans="2:36" x14ac:dyDescent="0.3">
      <c r="V4" s="34" t="s">
        <v>20</v>
      </c>
      <c r="W4" s="34"/>
      <c r="X4" s="34"/>
      <c r="Y4" s="34"/>
      <c r="Z4" s="34"/>
      <c r="AA4" s="34"/>
      <c r="AB4" s="34"/>
      <c r="AC4" s="34"/>
      <c r="AD4" s="34"/>
      <c r="AE4" s="34"/>
    </row>
    <row r="6" spans="2:36" ht="15" customHeight="1" x14ac:dyDescent="0.3">
      <c r="B6" s="43" t="s">
        <v>44</v>
      </c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V6" s="35" t="s">
        <v>4</v>
      </c>
      <c r="W6" s="35"/>
      <c r="X6" s="35"/>
      <c r="Y6" s="35" t="s">
        <v>5</v>
      </c>
      <c r="Z6" s="35"/>
      <c r="AA6" s="35"/>
      <c r="AB6" s="35"/>
      <c r="AC6" s="36" t="s">
        <v>45</v>
      </c>
      <c r="AD6" s="35"/>
      <c r="AE6" s="35"/>
      <c r="AF6" s="36" t="s">
        <v>41</v>
      </c>
      <c r="AG6" s="35"/>
      <c r="AH6" s="35"/>
    </row>
    <row r="7" spans="2:36" ht="15" customHeight="1" x14ac:dyDescent="0.3"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</row>
    <row r="8" spans="2:36" ht="15" customHeight="1" x14ac:dyDescent="0.3"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V8" s="37" t="s">
        <v>0</v>
      </c>
      <c r="W8" s="37"/>
      <c r="X8" s="37"/>
      <c r="Y8" s="38"/>
      <c r="Z8" s="38"/>
      <c r="AA8" s="38"/>
      <c r="AB8" s="38"/>
      <c r="AC8" s="37">
        <v>22</v>
      </c>
      <c r="AD8" s="37"/>
      <c r="AE8" s="37"/>
      <c r="AF8" s="39">
        <v>1100</v>
      </c>
      <c r="AG8" s="39"/>
      <c r="AH8" s="39"/>
      <c r="AI8" s="33"/>
      <c r="AJ8" s="32"/>
    </row>
    <row r="9" spans="2:36" ht="15" customHeight="1" x14ac:dyDescent="0.3"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V9" s="37" t="s">
        <v>1</v>
      </c>
      <c r="W9" s="37"/>
      <c r="X9" s="37"/>
      <c r="Y9" s="38"/>
      <c r="Z9" s="38"/>
      <c r="AA9" s="38"/>
      <c r="AB9" s="38"/>
      <c r="AC9" s="37">
        <v>14</v>
      </c>
      <c r="AD9" s="37"/>
      <c r="AE9" s="37"/>
      <c r="AF9" s="39">
        <v>50</v>
      </c>
      <c r="AG9" s="39"/>
      <c r="AH9" s="39"/>
      <c r="AI9" s="33"/>
      <c r="AJ9" s="32"/>
    </row>
    <row r="10" spans="2:36" ht="15" customHeight="1" x14ac:dyDescent="0.3"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V10" s="37" t="s">
        <v>6</v>
      </c>
      <c r="W10" s="37"/>
      <c r="X10" s="37"/>
      <c r="Y10" s="38"/>
      <c r="Z10" s="38"/>
      <c r="AA10" s="38"/>
      <c r="AB10" s="38"/>
      <c r="AC10" s="37">
        <v>2</v>
      </c>
      <c r="AD10" s="37"/>
      <c r="AE10" s="37"/>
      <c r="AF10" s="39">
        <v>190</v>
      </c>
      <c r="AG10" s="39"/>
      <c r="AH10" s="39"/>
      <c r="AI10" s="33"/>
      <c r="AJ10" s="32"/>
    </row>
    <row r="11" spans="2:36" ht="15" customHeight="1" x14ac:dyDescent="0.3"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V11" s="37" t="s">
        <v>7</v>
      </c>
      <c r="W11" s="37"/>
      <c r="X11" s="37"/>
      <c r="Y11" s="37" t="s">
        <v>0</v>
      </c>
      <c r="Z11" s="37"/>
      <c r="AA11" s="37"/>
      <c r="AB11" s="37"/>
      <c r="AC11" s="37">
        <v>7</v>
      </c>
      <c r="AD11" s="37"/>
      <c r="AE11" s="37"/>
      <c r="AF11" s="39">
        <v>150</v>
      </c>
      <c r="AG11" s="39"/>
      <c r="AH11" s="39"/>
      <c r="AI11" s="33"/>
      <c r="AJ11" s="32"/>
    </row>
    <row r="12" spans="2:36" ht="15" customHeight="1" x14ac:dyDescent="0.3"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V12" s="37" t="s">
        <v>8</v>
      </c>
      <c r="W12" s="37"/>
      <c r="X12" s="37"/>
      <c r="Y12" s="37" t="s">
        <v>1</v>
      </c>
      <c r="Z12" s="37"/>
      <c r="AA12" s="37"/>
      <c r="AB12" s="37"/>
      <c r="AC12" s="37">
        <v>17</v>
      </c>
      <c r="AD12" s="37"/>
      <c r="AE12" s="37"/>
      <c r="AF12" s="39">
        <v>1000</v>
      </c>
      <c r="AG12" s="39"/>
      <c r="AH12" s="39"/>
      <c r="AI12" s="33"/>
      <c r="AJ12" s="32"/>
    </row>
    <row r="13" spans="2:36" ht="15" customHeight="1" x14ac:dyDescent="0.3"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V13" s="37" t="s">
        <v>9</v>
      </c>
      <c r="W13" s="37"/>
      <c r="X13" s="37"/>
      <c r="Y13" s="37" t="s">
        <v>6</v>
      </c>
      <c r="Z13" s="37"/>
      <c r="AA13" s="37"/>
      <c r="AB13" s="37"/>
      <c r="AC13" s="37">
        <v>4</v>
      </c>
      <c r="AD13" s="37"/>
      <c r="AE13" s="37"/>
      <c r="AF13" s="39">
        <v>110</v>
      </c>
      <c r="AG13" s="39"/>
      <c r="AH13" s="39"/>
      <c r="AI13" s="33"/>
      <c r="AJ13" s="32"/>
    </row>
    <row r="14" spans="2:36" ht="15" customHeight="1" x14ac:dyDescent="0.3"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V14" s="37" t="s">
        <v>10</v>
      </c>
      <c r="W14" s="37"/>
      <c r="X14" s="37"/>
      <c r="Y14" s="37" t="s">
        <v>7</v>
      </c>
      <c r="Z14" s="37"/>
      <c r="AA14" s="37"/>
      <c r="AB14" s="37"/>
      <c r="AC14" s="37">
        <v>27</v>
      </c>
      <c r="AD14" s="37"/>
      <c r="AE14" s="37"/>
      <c r="AF14" s="39">
        <v>90</v>
      </c>
      <c r="AG14" s="39"/>
      <c r="AH14" s="39"/>
      <c r="AI14" s="33"/>
      <c r="AJ14" s="32"/>
    </row>
    <row r="15" spans="2:36" ht="15" customHeight="1" x14ac:dyDescent="0.3"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V15" s="37" t="s">
        <v>11</v>
      </c>
      <c r="W15" s="37"/>
      <c r="X15" s="37"/>
      <c r="Y15" s="37" t="s">
        <v>7</v>
      </c>
      <c r="Z15" s="37"/>
      <c r="AA15" s="37"/>
      <c r="AB15" s="37"/>
      <c r="AC15" s="37">
        <v>17</v>
      </c>
      <c r="AD15" s="37"/>
      <c r="AE15" s="37"/>
      <c r="AF15" s="39">
        <v>1050</v>
      </c>
      <c r="AG15" s="39"/>
      <c r="AH15" s="39"/>
      <c r="AI15" s="33"/>
      <c r="AJ15" s="32"/>
    </row>
    <row r="16" spans="2:36" ht="15" customHeight="1" x14ac:dyDescent="0.3"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V16" s="37" t="s">
        <v>12</v>
      </c>
      <c r="W16" s="37"/>
      <c r="X16" s="37"/>
      <c r="Y16" s="37" t="s">
        <v>16</v>
      </c>
      <c r="Z16" s="37"/>
      <c r="AA16" s="37"/>
      <c r="AB16" s="37"/>
      <c r="AC16" s="37">
        <v>27</v>
      </c>
      <c r="AD16" s="37"/>
      <c r="AE16" s="37"/>
      <c r="AF16" s="39">
        <v>350</v>
      </c>
      <c r="AG16" s="39"/>
      <c r="AH16" s="39"/>
      <c r="AI16" s="33"/>
      <c r="AJ16" s="32"/>
    </row>
    <row r="17" spans="2:95" ht="15" customHeight="1" x14ac:dyDescent="0.3"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V17" s="37" t="s">
        <v>13</v>
      </c>
      <c r="W17" s="37"/>
      <c r="X17" s="37"/>
      <c r="Y17" s="37" t="s">
        <v>17</v>
      </c>
      <c r="Z17" s="37"/>
      <c r="AA17" s="37"/>
      <c r="AB17" s="37"/>
      <c r="AC17" s="37">
        <v>5</v>
      </c>
      <c r="AD17" s="37"/>
      <c r="AE17" s="37"/>
      <c r="AF17" s="39">
        <v>400</v>
      </c>
      <c r="AG17" s="39"/>
      <c r="AH17" s="39"/>
      <c r="AI17" s="33"/>
      <c r="AJ17" s="32"/>
    </row>
    <row r="18" spans="2:95" ht="15" customHeight="1" x14ac:dyDescent="0.3"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V18" s="37" t="s">
        <v>14</v>
      </c>
      <c r="W18" s="37"/>
      <c r="X18" s="37"/>
      <c r="Y18" s="37" t="s">
        <v>18</v>
      </c>
      <c r="Z18" s="37"/>
      <c r="AA18" s="37"/>
      <c r="AB18" s="37"/>
      <c r="AC18" s="37">
        <v>26</v>
      </c>
      <c r="AD18" s="37"/>
      <c r="AE18" s="37"/>
      <c r="AF18" s="39">
        <v>1600</v>
      </c>
      <c r="AG18" s="39"/>
      <c r="AH18" s="39"/>
      <c r="AI18" s="33"/>
      <c r="AJ18" s="32"/>
    </row>
    <row r="19" spans="2:95" ht="15" customHeight="1" x14ac:dyDescent="0.3"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V19" s="37" t="s">
        <v>15</v>
      </c>
      <c r="W19" s="37"/>
      <c r="X19" s="37"/>
      <c r="Y19" s="37" t="s">
        <v>19</v>
      </c>
      <c r="Z19" s="37"/>
      <c r="AA19" s="37"/>
      <c r="AB19" s="37"/>
      <c r="AC19" s="37">
        <v>22</v>
      </c>
      <c r="AD19" s="37"/>
      <c r="AE19" s="37"/>
      <c r="AF19" s="39">
        <v>1300</v>
      </c>
      <c r="AG19" s="39"/>
      <c r="AH19" s="39"/>
      <c r="AI19" s="33"/>
      <c r="AJ19" s="32"/>
    </row>
    <row r="20" spans="2:95" x14ac:dyDescent="0.3"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</row>
    <row r="21" spans="2:95" x14ac:dyDescent="0.3"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</row>
    <row r="22" spans="2:95" x14ac:dyDescent="0.3"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</row>
    <row r="27" spans="2:95" x14ac:dyDescent="0.3">
      <c r="C27" s="89" t="s">
        <v>23</v>
      </c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</row>
    <row r="28" spans="2:95" x14ac:dyDescent="0.3"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</row>
    <row r="29" spans="2:95" x14ac:dyDescent="0.3">
      <c r="AI29" s="3"/>
    </row>
    <row r="30" spans="2:95" x14ac:dyDescent="0.3">
      <c r="D30" s="6">
        <v>0</v>
      </c>
      <c r="E30" s="6"/>
      <c r="F30" s="25">
        <v>2</v>
      </c>
      <c r="G30" s="6"/>
      <c r="H30" s="6"/>
      <c r="I30" s="6"/>
      <c r="J30" s="25">
        <v>6</v>
      </c>
      <c r="K30" s="6"/>
      <c r="L30" s="6"/>
      <c r="M30" s="6"/>
      <c r="N30" s="6">
        <v>10</v>
      </c>
      <c r="O30" s="6"/>
      <c r="P30" s="6"/>
      <c r="Q30" s="6"/>
      <c r="R30" s="25">
        <v>14</v>
      </c>
      <c r="S30" s="6"/>
      <c r="T30" s="6"/>
      <c r="U30" s="6"/>
      <c r="V30" s="6"/>
      <c r="W30" s="6"/>
      <c r="X30" s="6">
        <v>20</v>
      </c>
      <c r="Y30" s="6"/>
      <c r="Z30" s="25">
        <v>22</v>
      </c>
      <c r="AA30" s="6"/>
      <c r="AB30" s="6"/>
      <c r="AC30" s="6"/>
      <c r="AD30" s="6"/>
      <c r="AE30" s="25"/>
      <c r="AF30" s="6"/>
      <c r="AG30" s="25">
        <v>29</v>
      </c>
      <c r="AH30" s="6">
        <v>30</v>
      </c>
      <c r="AI30" s="25">
        <v>31</v>
      </c>
      <c r="AJ30" s="6"/>
      <c r="AK30" s="6"/>
      <c r="AL30" s="6"/>
      <c r="AM30" s="6"/>
      <c r="AN30" s="25">
        <v>36</v>
      </c>
      <c r="AO30" s="6"/>
      <c r="AP30" s="6"/>
      <c r="AQ30" s="6"/>
      <c r="AR30" s="6">
        <v>40</v>
      </c>
      <c r="AS30" s="6"/>
      <c r="AT30" s="6"/>
      <c r="AU30" s="6"/>
      <c r="AV30" s="6"/>
      <c r="AW30" s="6"/>
      <c r="AX30" s="25">
        <v>46</v>
      </c>
      <c r="AY30" s="6"/>
      <c r="AZ30" s="6"/>
      <c r="BA30" s="6"/>
      <c r="BB30" s="6">
        <v>50</v>
      </c>
      <c r="BC30" s="6"/>
      <c r="BD30" s="6"/>
      <c r="BE30" s="6"/>
      <c r="BF30" s="6"/>
      <c r="BG30" s="6"/>
      <c r="BH30" s="25">
        <v>56</v>
      </c>
      <c r="BI30" s="6"/>
      <c r="BJ30" s="25">
        <v>58</v>
      </c>
      <c r="BK30" s="6"/>
      <c r="BL30" s="6">
        <v>60</v>
      </c>
      <c r="BM30" s="6"/>
      <c r="BN30" s="6"/>
      <c r="BO30" s="6"/>
      <c r="BP30" s="6"/>
      <c r="BQ30" s="6"/>
      <c r="BR30" s="6"/>
      <c r="BS30" s="6"/>
      <c r="BT30" s="6"/>
      <c r="BU30" s="6"/>
      <c r="BV30" s="6">
        <v>70</v>
      </c>
      <c r="BW30" s="6"/>
      <c r="BX30" s="6"/>
      <c r="BY30" s="6"/>
      <c r="BZ30" s="6"/>
      <c r="CA30" s="6"/>
      <c r="CB30" s="6"/>
      <c r="CC30" s="6"/>
      <c r="CD30" s="6"/>
      <c r="CE30" s="6"/>
      <c r="CF30" s="6">
        <v>80</v>
      </c>
      <c r="CG30" s="6"/>
      <c r="CH30" s="6"/>
      <c r="CI30" s="6"/>
      <c r="CJ30" s="25">
        <v>84</v>
      </c>
      <c r="CK30" s="6"/>
      <c r="CM30" s="4"/>
      <c r="CN30" s="4"/>
      <c r="CP30" s="6">
        <v>9</v>
      </c>
    </row>
    <row r="31" spans="2:95" x14ac:dyDescent="0.3">
      <c r="B31" s="102"/>
      <c r="C31" s="102"/>
      <c r="D31" s="102"/>
      <c r="E31" s="8"/>
      <c r="F31" s="9"/>
      <c r="G31" s="9"/>
      <c r="H31" s="9"/>
      <c r="I31" s="9"/>
      <c r="J31" s="9"/>
      <c r="K31" s="9"/>
      <c r="L31" s="9"/>
      <c r="M31" s="9"/>
      <c r="N31" s="11"/>
      <c r="O31" s="8"/>
      <c r="P31" s="9"/>
      <c r="Q31" s="9"/>
      <c r="R31" s="9"/>
      <c r="S31" s="9"/>
      <c r="T31" s="9"/>
      <c r="U31" s="9"/>
      <c r="V31" s="9"/>
      <c r="W31" s="9"/>
      <c r="X31" s="11"/>
      <c r="Y31" s="8"/>
      <c r="Z31" s="9"/>
      <c r="AA31" s="9"/>
      <c r="AB31" s="9"/>
      <c r="AC31" s="9"/>
      <c r="AD31" s="9"/>
      <c r="AE31" s="9"/>
      <c r="AF31" s="9"/>
      <c r="AG31" s="9"/>
      <c r="AH31" s="11"/>
      <c r="AI31" s="8"/>
      <c r="AJ31" s="9"/>
      <c r="AK31" s="9"/>
      <c r="AL31" s="9"/>
      <c r="AM31" s="9"/>
      <c r="AN31" s="9"/>
      <c r="AO31" s="9"/>
      <c r="AP31" s="9"/>
      <c r="AQ31" s="9"/>
      <c r="AR31" s="11"/>
      <c r="AS31" s="8"/>
      <c r="AT31" s="9"/>
      <c r="AU31" s="9"/>
      <c r="AV31" s="9"/>
      <c r="AW31" s="9"/>
      <c r="AX31" s="9"/>
      <c r="AY31" s="9"/>
      <c r="AZ31" s="9"/>
      <c r="BA31" s="9"/>
      <c r="BB31" s="11"/>
      <c r="BC31" s="8"/>
      <c r="BD31" s="9"/>
      <c r="BE31" s="9"/>
      <c r="BF31" s="9"/>
      <c r="BG31" s="9"/>
      <c r="BH31" s="9"/>
      <c r="BI31" s="9"/>
      <c r="BJ31" s="9"/>
      <c r="BK31" s="9"/>
      <c r="BL31" s="10"/>
      <c r="BM31" s="8"/>
      <c r="BN31" s="9"/>
      <c r="BO31" s="9"/>
      <c r="BP31" s="9"/>
      <c r="BQ31" s="9"/>
      <c r="BR31" s="9"/>
      <c r="BS31" s="9"/>
      <c r="BT31" s="9"/>
      <c r="BU31" s="9"/>
      <c r="BV31" s="10"/>
      <c r="BW31" s="8"/>
      <c r="BX31" s="9"/>
      <c r="BY31" s="9"/>
      <c r="BZ31" s="9"/>
      <c r="CA31" s="9"/>
      <c r="CB31" s="9"/>
      <c r="CC31" s="9"/>
      <c r="CD31" s="9"/>
      <c r="CE31" s="9"/>
      <c r="CF31" s="10"/>
      <c r="CG31" s="8"/>
      <c r="CH31" s="9"/>
      <c r="CI31" s="9"/>
      <c r="CJ31" s="9"/>
      <c r="CK31" s="9"/>
      <c r="CL31" s="9"/>
      <c r="CM31" s="9"/>
      <c r="CN31" s="9"/>
      <c r="CO31" s="9"/>
      <c r="CP31" s="10"/>
      <c r="CQ31" s="17"/>
    </row>
    <row r="32" spans="2:95" x14ac:dyDescent="0.3">
      <c r="B32" s="102"/>
      <c r="C32" s="102"/>
      <c r="D32" s="102"/>
      <c r="E32" s="12"/>
      <c r="G32" s="18"/>
      <c r="K32" s="18"/>
      <c r="O32" s="12"/>
      <c r="R32" s="13"/>
      <c r="Y32" s="12"/>
      <c r="AA32" s="18"/>
      <c r="AH32" s="24"/>
      <c r="AI32" s="14"/>
      <c r="AN32" s="13"/>
      <c r="AS32" s="12"/>
      <c r="AX32" s="13"/>
      <c r="BC32" s="12"/>
      <c r="BH32" s="13"/>
      <c r="BJ32" s="13"/>
      <c r="BM32" s="12"/>
      <c r="BW32" s="12"/>
      <c r="CG32" s="12"/>
      <c r="CJ32" s="13"/>
      <c r="CQ32" s="12"/>
    </row>
    <row r="33" spans="2:95" x14ac:dyDescent="0.3">
      <c r="B33" s="102"/>
      <c r="C33" s="102"/>
      <c r="D33" s="102"/>
      <c r="E33" s="12"/>
      <c r="G33" s="18"/>
      <c r="K33" s="18"/>
      <c r="O33" s="12"/>
      <c r="R33" s="13"/>
      <c r="Y33" s="12"/>
      <c r="AA33" s="18"/>
      <c r="AH33" s="24"/>
      <c r="AI33" s="14"/>
      <c r="AN33" s="13"/>
      <c r="AS33" s="12"/>
      <c r="AX33" s="13"/>
      <c r="BC33" s="12"/>
      <c r="BH33" s="13"/>
      <c r="BJ33" s="13"/>
      <c r="BM33" s="12"/>
      <c r="BW33" s="12"/>
      <c r="CG33" s="12"/>
      <c r="CJ33" s="13"/>
      <c r="CQ33" s="12"/>
    </row>
    <row r="34" spans="2:95" x14ac:dyDescent="0.3">
      <c r="B34" s="102"/>
      <c r="C34" s="102"/>
      <c r="D34" s="102"/>
      <c r="E34" s="12"/>
      <c r="G34" s="18"/>
      <c r="K34" s="18"/>
      <c r="O34" s="12"/>
      <c r="R34" s="13"/>
      <c r="Y34" s="12"/>
      <c r="AA34" s="18"/>
      <c r="AH34" s="24"/>
      <c r="AI34" s="14"/>
      <c r="AN34" s="13"/>
      <c r="AS34" s="12"/>
      <c r="AX34" s="13"/>
      <c r="BC34" s="12"/>
      <c r="BH34" s="13"/>
      <c r="BJ34" s="13"/>
      <c r="BM34" s="12"/>
      <c r="BW34" s="12"/>
      <c r="CG34" s="12"/>
      <c r="CJ34" s="13"/>
      <c r="CQ34" s="12"/>
    </row>
    <row r="35" spans="2:95" x14ac:dyDescent="0.3">
      <c r="B35" s="102"/>
      <c r="C35" s="102"/>
      <c r="D35" s="102"/>
      <c r="E35" s="12"/>
      <c r="G35" s="18"/>
      <c r="K35" s="18"/>
      <c r="O35" s="12"/>
      <c r="R35" s="13"/>
      <c r="Y35" s="12"/>
      <c r="AA35" s="18"/>
      <c r="AH35" s="24"/>
      <c r="AI35" s="14"/>
      <c r="AN35" s="13"/>
      <c r="AS35" s="12"/>
      <c r="AX35" s="13"/>
      <c r="BC35" s="12"/>
      <c r="BH35" s="13"/>
      <c r="BJ35" s="13"/>
      <c r="BM35" s="12"/>
      <c r="BW35" s="12"/>
      <c r="CG35" s="12"/>
      <c r="CJ35" s="13"/>
      <c r="CQ35" s="12"/>
    </row>
    <row r="36" spans="2:95" x14ac:dyDescent="0.3">
      <c r="B36" s="102"/>
      <c r="C36" s="102"/>
      <c r="D36" s="102"/>
      <c r="E36" s="12"/>
      <c r="G36" s="18"/>
      <c r="K36" s="18"/>
      <c r="O36" s="12"/>
      <c r="R36" s="13"/>
      <c r="Y36" s="12"/>
      <c r="AA36" s="18"/>
      <c r="AH36" s="24"/>
      <c r="AI36" s="14"/>
      <c r="AN36" s="13"/>
      <c r="AS36" s="12"/>
      <c r="AX36" s="13"/>
      <c r="BC36" s="12"/>
      <c r="BH36" s="13"/>
      <c r="BJ36" s="13"/>
      <c r="BM36" s="12"/>
      <c r="BW36" s="12"/>
      <c r="CG36" s="12"/>
      <c r="CJ36" s="13"/>
      <c r="CQ36" s="12"/>
    </row>
    <row r="37" spans="2:95" x14ac:dyDescent="0.3">
      <c r="B37" s="102"/>
      <c r="C37" s="102"/>
      <c r="D37" s="102"/>
      <c r="E37" s="12"/>
      <c r="G37" s="18"/>
      <c r="K37" s="18"/>
      <c r="O37" s="12"/>
      <c r="R37" s="13"/>
      <c r="Y37" s="12"/>
      <c r="AH37" s="26"/>
      <c r="AI37" s="14"/>
      <c r="AN37" s="13"/>
      <c r="AS37" s="12"/>
      <c r="BC37" s="12"/>
      <c r="BJ37" s="13"/>
      <c r="BM37" s="12"/>
      <c r="BW37" s="12"/>
      <c r="CG37" s="12"/>
      <c r="CJ37" s="13"/>
      <c r="CQ37" s="12"/>
    </row>
    <row r="38" spans="2:95" x14ac:dyDescent="0.3">
      <c r="B38" s="102"/>
      <c r="C38" s="102"/>
      <c r="D38" s="102"/>
      <c r="E38" s="12"/>
      <c r="G38" s="18"/>
      <c r="K38" s="18"/>
      <c r="O38" s="12"/>
      <c r="R38" s="13"/>
      <c r="Y38" s="12"/>
      <c r="AH38" s="26"/>
      <c r="AI38" s="14"/>
      <c r="AN38" s="13"/>
      <c r="AS38" s="12"/>
      <c r="BC38" s="12"/>
      <c r="BJ38" s="13"/>
      <c r="BM38" s="12"/>
      <c r="BW38" s="12"/>
      <c r="CG38" s="12"/>
      <c r="CJ38" s="13"/>
      <c r="CQ38" s="12"/>
    </row>
    <row r="39" spans="2:95" x14ac:dyDescent="0.3">
      <c r="B39" s="102"/>
      <c r="C39" s="102"/>
      <c r="D39" s="102"/>
      <c r="E39" s="12"/>
      <c r="G39" s="18"/>
      <c r="K39" s="18"/>
      <c r="O39" s="12"/>
      <c r="R39" s="13"/>
      <c r="Y39" s="12"/>
      <c r="AH39" s="26"/>
      <c r="AI39" s="13"/>
      <c r="AN39" s="13"/>
      <c r="AS39" s="12"/>
      <c r="BC39" s="12"/>
      <c r="BJ39" s="13"/>
      <c r="BM39" s="12"/>
      <c r="BW39" s="12"/>
      <c r="CG39" s="12"/>
      <c r="CJ39" s="13"/>
      <c r="CQ39" s="12"/>
    </row>
    <row r="40" spans="2:95" x14ac:dyDescent="0.3">
      <c r="B40" s="102"/>
      <c r="C40" s="102"/>
      <c r="D40" s="102"/>
      <c r="E40" s="12"/>
      <c r="G40" s="18"/>
      <c r="K40" s="18"/>
      <c r="O40" s="12"/>
      <c r="R40" s="13"/>
      <c r="Y40" s="12"/>
      <c r="AI40" s="14"/>
      <c r="AN40" s="13"/>
      <c r="AS40" s="12"/>
      <c r="BC40" s="12"/>
      <c r="BJ40" s="13"/>
      <c r="BM40" s="12"/>
      <c r="BW40" s="12"/>
      <c r="CG40" s="12"/>
      <c r="CJ40" s="13"/>
      <c r="CQ40" s="12"/>
    </row>
    <row r="41" spans="2:95" x14ac:dyDescent="0.3">
      <c r="B41" s="102"/>
      <c r="C41" s="102"/>
      <c r="D41" s="102"/>
      <c r="E41" s="12"/>
      <c r="G41" s="18"/>
      <c r="K41" s="18"/>
      <c r="O41" s="12"/>
      <c r="R41" s="13"/>
      <c r="Y41" s="12"/>
      <c r="AI41" s="14"/>
      <c r="AN41" s="13"/>
      <c r="AS41" s="12"/>
      <c r="BC41" s="12"/>
      <c r="BJ41" s="13"/>
      <c r="BM41" s="12"/>
      <c r="BW41" s="12"/>
      <c r="CG41" s="12"/>
      <c r="CJ41" s="13"/>
      <c r="CQ41" s="12"/>
    </row>
    <row r="42" spans="2:95" x14ac:dyDescent="0.3">
      <c r="B42" s="102"/>
      <c r="C42" s="102"/>
      <c r="D42" s="102"/>
      <c r="E42" s="12"/>
      <c r="G42" s="18"/>
      <c r="K42" s="18"/>
      <c r="O42" s="12"/>
      <c r="R42" s="13"/>
      <c r="Y42" s="12"/>
      <c r="AI42" s="14"/>
      <c r="AN42" s="13"/>
      <c r="AS42" s="12"/>
      <c r="BC42" s="12"/>
      <c r="BJ42" s="13"/>
      <c r="BM42" s="12"/>
      <c r="BW42" s="12"/>
      <c r="CG42" s="12"/>
      <c r="CJ42" s="13"/>
      <c r="CQ42" s="12"/>
    </row>
    <row r="43" spans="2:95" x14ac:dyDescent="0.3">
      <c r="B43" s="102"/>
      <c r="C43" s="102"/>
      <c r="D43" s="102"/>
      <c r="E43" s="12"/>
      <c r="G43" s="18"/>
      <c r="K43" s="18"/>
      <c r="O43" s="12"/>
      <c r="R43" s="13"/>
      <c r="Y43" s="12"/>
      <c r="AI43" s="14"/>
      <c r="AN43" s="13"/>
      <c r="AS43" s="12"/>
      <c r="BC43" s="12"/>
      <c r="BJ43" s="13"/>
      <c r="BM43" s="12"/>
      <c r="BW43" s="12"/>
      <c r="CG43" s="12"/>
      <c r="CJ43" s="13"/>
      <c r="CQ43" s="12"/>
    </row>
    <row r="44" spans="2:95" x14ac:dyDescent="0.3">
      <c r="E44" s="12"/>
      <c r="G44" s="18"/>
      <c r="K44" s="18"/>
      <c r="O44" s="12"/>
      <c r="R44" s="13"/>
      <c r="Y44" s="12"/>
      <c r="AI44" s="14"/>
      <c r="AN44" s="13"/>
      <c r="AS44" s="12"/>
      <c r="BC44" s="12"/>
      <c r="BJ44" s="13"/>
      <c r="BM44" s="12"/>
      <c r="BW44" s="12"/>
      <c r="CG44" s="12"/>
      <c r="CJ44" s="13"/>
      <c r="CQ44" s="12"/>
    </row>
    <row r="45" spans="2:95" x14ac:dyDescent="0.3">
      <c r="E45" s="12"/>
      <c r="G45" s="18"/>
      <c r="K45" s="18"/>
      <c r="O45" s="12"/>
      <c r="R45" s="13"/>
      <c r="Y45" s="12"/>
      <c r="AI45" s="14"/>
      <c r="AN45" s="13"/>
      <c r="AS45" s="12"/>
      <c r="BC45" s="12"/>
      <c r="BJ45" s="13"/>
      <c r="BM45" s="12"/>
      <c r="BW45" s="12"/>
      <c r="CG45" s="12"/>
      <c r="CJ45" s="13"/>
      <c r="CQ45" s="12"/>
    </row>
    <row r="46" spans="2:95" x14ac:dyDescent="0.3">
      <c r="E46" s="12"/>
      <c r="G46" s="18"/>
      <c r="K46" s="18"/>
      <c r="O46" s="12"/>
      <c r="R46" s="13"/>
      <c r="Y46" s="12"/>
      <c r="AI46" s="14"/>
      <c r="AN46" s="13"/>
      <c r="AS46" s="12"/>
      <c r="BC46" s="12"/>
      <c r="BJ46" s="13"/>
      <c r="BM46" s="12"/>
      <c r="BW46" s="12"/>
      <c r="CG46" s="12"/>
      <c r="CJ46" s="13"/>
      <c r="CQ46" s="12"/>
    </row>
    <row r="47" spans="2:95" x14ac:dyDescent="0.3">
      <c r="E47" s="12"/>
      <c r="O47" s="12"/>
      <c r="R47" s="13"/>
      <c r="Y47" s="12"/>
      <c r="AI47" s="14"/>
      <c r="AN47" s="13"/>
      <c r="AS47" s="12"/>
      <c r="BC47" s="12"/>
      <c r="BJ47" s="13"/>
      <c r="BM47" s="12"/>
      <c r="BW47" s="12"/>
      <c r="CG47" s="12"/>
      <c r="CJ47" s="13"/>
      <c r="CQ47" s="12"/>
    </row>
    <row r="48" spans="2:95" x14ac:dyDescent="0.3">
      <c r="E48" s="12"/>
      <c r="O48" s="12"/>
      <c r="R48" s="13"/>
      <c r="Y48" s="12"/>
      <c r="AI48" s="14"/>
      <c r="AN48" s="13"/>
      <c r="AS48" s="12"/>
      <c r="BC48" s="12"/>
      <c r="BJ48" s="13"/>
      <c r="BM48" s="12"/>
      <c r="BW48" s="12"/>
      <c r="CG48" s="12"/>
      <c r="CJ48" s="13"/>
      <c r="CQ48" s="12"/>
    </row>
    <row r="49" spans="3:95" x14ac:dyDescent="0.3">
      <c r="E49" s="12"/>
      <c r="O49" s="12"/>
      <c r="R49" s="13"/>
      <c r="Y49" s="12"/>
      <c r="AI49" s="14"/>
      <c r="AS49" s="12"/>
      <c r="BC49" s="12"/>
      <c r="BJ49" s="13"/>
      <c r="BM49" s="12"/>
      <c r="BW49" s="12"/>
      <c r="CG49" s="12"/>
      <c r="CJ49" s="13"/>
      <c r="CQ49" s="12"/>
    </row>
    <row r="50" spans="3:95" x14ac:dyDescent="0.3">
      <c r="E50" s="12"/>
      <c r="O50" s="12"/>
      <c r="R50" s="13"/>
      <c r="Y50" s="12"/>
      <c r="AI50" s="14"/>
      <c r="AS50" s="12"/>
      <c r="BC50" s="12"/>
      <c r="BJ50" s="13"/>
      <c r="BM50" s="12"/>
      <c r="BW50" s="12"/>
      <c r="CG50" s="12"/>
      <c r="CJ50" s="13"/>
      <c r="CQ50" s="12"/>
    </row>
    <row r="51" spans="3:95" x14ac:dyDescent="0.3">
      <c r="E51" s="12"/>
      <c r="O51" s="12"/>
      <c r="R51" s="13"/>
      <c r="Y51" s="12"/>
      <c r="AI51" s="14"/>
      <c r="AS51" s="12"/>
      <c r="BC51" s="12"/>
      <c r="BJ51" s="13"/>
      <c r="BM51" s="12"/>
      <c r="BW51" s="12"/>
      <c r="CG51" s="12"/>
      <c r="CJ51" s="13"/>
      <c r="CQ51" s="12"/>
    </row>
    <row r="52" spans="3:95" x14ac:dyDescent="0.3">
      <c r="E52" s="12"/>
      <c r="O52" s="12"/>
      <c r="R52" s="13"/>
      <c r="Y52" s="12"/>
      <c r="AI52" s="14"/>
      <c r="AS52" s="12"/>
      <c r="BC52" s="12"/>
      <c r="BJ52" s="13"/>
      <c r="BM52" s="12"/>
      <c r="BW52" s="12"/>
      <c r="CG52" s="12"/>
      <c r="CJ52" s="13"/>
      <c r="CQ52" s="12"/>
    </row>
    <row r="53" spans="3:95" x14ac:dyDescent="0.3">
      <c r="E53" s="12"/>
      <c r="O53" s="12"/>
      <c r="R53" s="13"/>
      <c r="Y53" s="12"/>
      <c r="AI53" s="14"/>
      <c r="AS53" s="12"/>
      <c r="BC53" s="12"/>
      <c r="BJ53" s="13"/>
      <c r="BM53" s="12"/>
      <c r="BW53" s="12"/>
      <c r="CG53" s="12"/>
      <c r="CJ53" s="13"/>
      <c r="CQ53" s="12"/>
    </row>
    <row r="54" spans="3:95" x14ac:dyDescent="0.3">
      <c r="E54" s="12"/>
      <c r="O54" s="12"/>
      <c r="R54" s="13"/>
      <c r="Y54" s="12"/>
      <c r="AI54" s="14"/>
      <c r="AS54" s="12"/>
      <c r="BC54" s="12"/>
      <c r="BJ54" s="13"/>
      <c r="BM54" s="12"/>
      <c r="BW54" s="12"/>
      <c r="CG54" s="12"/>
      <c r="CJ54" s="13"/>
      <c r="CQ54" s="12"/>
    </row>
    <row r="55" spans="3:95" x14ac:dyDescent="0.3">
      <c r="E55" s="12"/>
      <c r="O55" s="12"/>
      <c r="R55" s="13"/>
      <c r="Y55" s="12"/>
      <c r="AI55" s="14"/>
      <c r="AS55" s="12"/>
      <c r="BC55" s="12"/>
      <c r="BJ55" s="13"/>
      <c r="BM55" s="12"/>
      <c r="BW55" s="12"/>
      <c r="CG55" s="12"/>
      <c r="CJ55" s="13"/>
      <c r="CQ55" s="12"/>
    </row>
    <row r="56" spans="3:95" x14ac:dyDescent="0.3">
      <c r="E56" s="12"/>
      <c r="O56" s="12"/>
      <c r="R56" s="13"/>
      <c r="Y56" s="12"/>
      <c r="AI56" s="14"/>
      <c r="AS56" s="12"/>
      <c r="BC56" s="12"/>
      <c r="BJ56" s="13"/>
      <c r="BM56" s="12"/>
      <c r="BW56" s="12"/>
      <c r="CG56" s="12"/>
      <c r="CJ56" s="13"/>
      <c r="CQ56" s="12"/>
    </row>
    <row r="57" spans="3:95" x14ac:dyDescent="0.3">
      <c r="E57" s="12"/>
      <c r="O57" s="12"/>
      <c r="R57" s="13"/>
      <c r="Y57" s="12"/>
      <c r="AI57" s="14"/>
      <c r="AS57" s="12"/>
      <c r="BC57" s="12"/>
      <c r="BJ57" s="13"/>
      <c r="BM57" s="12"/>
      <c r="BW57" s="12"/>
      <c r="CG57" s="12"/>
      <c r="CJ57" s="13"/>
      <c r="CQ57" s="12"/>
    </row>
    <row r="58" spans="3:95" x14ac:dyDescent="0.3">
      <c r="E58" s="12"/>
      <c r="R58" s="13"/>
      <c r="AI58" s="15"/>
      <c r="BC58" s="12"/>
      <c r="BJ58" s="13"/>
      <c r="BL58" s="16"/>
      <c r="CJ58" s="13"/>
      <c r="CQ58" s="12"/>
    </row>
    <row r="59" spans="3:95" x14ac:dyDescent="0.3">
      <c r="C59" s="46">
        <v>1</v>
      </c>
      <c r="D59" s="46"/>
      <c r="E59" s="44">
        <v>0</v>
      </c>
      <c r="F59" s="44"/>
      <c r="I59" s="103" t="s">
        <v>46</v>
      </c>
      <c r="J59" s="103"/>
      <c r="K59" s="103"/>
      <c r="L59" s="103"/>
      <c r="Q59" s="41">
        <v>3</v>
      </c>
      <c r="R59" s="41"/>
      <c r="S59" s="42">
        <v>14</v>
      </c>
      <c r="T59" s="42"/>
      <c r="Y59" s="103" t="s">
        <v>47</v>
      </c>
      <c r="Z59" s="103"/>
      <c r="AA59" s="103"/>
      <c r="AB59" s="103"/>
      <c r="AH59" s="41">
        <v>7</v>
      </c>
      <c r="AI59" s="41"/>
      <c r="AJ59" s="42">
        <v>31</v>
      </c>
      <c r="AK59" s="42"/>
      <c r="AT59" s="103" t="s">
        <v>48</v>
      </c>
      <c r="AU59" s="103"/>
      <c r="AV59" s="103"/>
      <c r="AW59" s="103"/>
      <c r="BI59" s="41">
        <v>8</v>
      </c>
      <c r="BJ59" s="41"/>
      <c r="BK59" s="42">
        <v>58</v>
      </c>
      <c r="BL59" s="42"/>
      <c r="BW59" s="103" t="s">
        <v>49</v>
      </c>
      <c r="BX59" s="103"/>
      <c r="BY59" s="103"/>
      <c r="BZ59" s="103"/>
      <c r="CI59" s="47">
        <v>10</v>
      </c>
      <c r="CJ59" s="47"/>
      <c r="CK59" s="45">
        <v>84</v>
      </c>
      <c r="CL59" s="45"/>
    </row>
    <row r="60" spans="3:95" ht="15" thickBot="1" x14ac:dyDescent="0.35">
      <c r="C60" s="46"/>
      <c r="D60" s="46"/>
      <c r="E60" s="44"/>
      <c r="F60" s="44"/>
      <c r="G60" s="19"/>
      <c r="I60" s="103"/>
      <c r="J60" s="103"/>
      <c r="K60" s="103"/>
      <c r="L60" s="103"/>
      <c r="P60" s="20"/>
      <c r="Q60" s="41"/>
      <c r="R60" s="41"/>
      <c r="S60" s="42"/>
      <c r="T60" s="42"/>
      <c r="U60" s="19"/>
      <c r="Y60" s="103"/>
      <c r="Z60" s="103"/>
      <c r="AA60" s="103"/>
      <c r="AB60" s="103"/>
      <c r="AG60" s="20"/>
      <c r="AH60" s="41"/>
      <c r="AI60" s="41"/>
      <c r="AJ60" s="42"/>
      <c r="AK60" s="42"/>
      <c r="AL60" s="19"/>
      <c r="AT60" s="103"/>
      <c r="AU60" s="103"/>
      <c r="AV60" s="103"/>
      <c r="AW60" s="103"/>
      <c r="BH60" s="20"/>
      <c r="BI60" s="41"/>
      <c r="BJ60" s="41"/>
      <c r="BK60" s="42"/>
      <c r="BL60" s="42"/>
      <c r="BM60" s="19"/>
      <c r="BW60" s="103"/>
      <c r="BX60" s="103"/>
      <c r="BY60" s="103"/>
      <c r="BZ60" s="103"/>
      <c r="CH60" s="20"/>
      <c r="CI60" s="47"/>
      <c r="CJ60" s="47"/>
      <c r="CK60" s="45"/>
      <c r="CL60" s="45"/>
    </row>
    <row r="61" spans="3:95" ht="15" customHeight="1" x14ac:dyDescent="0.3">
      <c r="C61" s="46"/>
      <c r="D61" s="46"/>
      <c r="E61" s="44">
        <v>0</v>
      </c>
      <c r="F61" s="44"/>
      <c r="G61" s="21"/>
      <c r="H61" s="22"/>
      <c r="I61" s="22"/>
      <c r="J61" s="22"/>
      <c r="K61" s="22"/>
      <c r="L61" s="22"/>
      <c r="M61" s="22"/>
      <c r="N61" s="22"/>
      <c r="O61" s="22"/>
      <c r="P61" s="23"/>
      <c r="Q61" s="41"/>
      <c r="R61" s="41"/>
      <c r="S61" s="42">
        <v>14</v>
      </c>
      <c r="T61" s="42"/>
      <c r="U61" s="21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3"/>
      <c r="AH61" s="41"/>
      <c r="AI61" s="41"/>
      <c r="AJ61" s="42">
        <v>31</v>
      </c>
      <c r="AK61" s="42"/>
      <c r="AL61" s="21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3"/>
      <c r="BI61" s="41"/>
      <c r="BJ61" s="41"/>
      <c r="BK61" s="42">
        <v>58</v>
      </c>
      <c r="BL61" s="42"/>
      <c r="BM61" s="21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3"/>
      <c r="CI61" s="47"/>
      <c r="CJ61" s="47"/>
      <c r="CK61" s="45">
        <v>84</v>
      </c>
      <c r="CL61" s="45"/>
    </row>
    <row r="62" spans="3:95" ht="15" customHeight="1" x14ac:dyDescent="0.3">
      <c r="C62" s="46"/>
      <c r="D62" s="46"/>
      <c r="E62" s="44"/>
      <c r="F62" s="44"/>
      <c r="Q62" s="41"/>
      <c r="R62" s="41"/>
      <c r="S62" s="42"/>
      <c r="T62" s="42"/>
      <c r="AH62" s="41"/>
      <c r="AI62" s="41"/>
      <c r="AJ62" s="42"/>
      <c r="AK62" s="42"/>
      <c r="BI62" s="41"/>
      <c r="BJ62" s="41"/>
      <c r="BK62" s="42"/>
      <c r="BL62" s="42"/>
      <c r="CI62" s="47"/>
      <c r="CJ62" s="47"/>
      <c r="CK62" s="45"/>
      <c r="CL62" s="45"/>
    </row>
    <row r="63" spans="3:95" ht="15" customHeight="1" x14ac:dyDescent="0.3">
      <c r="E63" s="12"/>
      <c r="S63" s="88">
        <v>500</v>
      </c>
      <c r="T63" s="88"/>
      <c r="AH63" s="88">
        <v>500</v>
      </c>
      <c r="AI63" s="88"/>
    </row>
    <row r="64" spans="3:95" x14ac:dyDescent="0.3">
      <c r="E64" s="12"/>
    </row>
    <row r="65" spans="2:88" x14ac:dyDescent="0.3">
      <c r="E65" s="12"/>
    </row>
    <row r="66" spans="2:88" ht="15" customHeight="1" x14ac:dyDescent="0.3">
      <c r="E66" s="12"/>
    </row>
    <row r="67" spans="2:88" ht="15" customHeight="1" x14ac:dyDescent="0.3">
      <c r="D67" s="6">
        <v>0</v>
      </c>
      <c r="E67" s="6"/>
      <c r="F67" s="25">
        <v>2</v>
      </c>
      <c r="G67" s="6"/>
      <c r="H67" s="6"/>
      <c r="I67" s="6"/>
      <c r="J67" s="25">
        <v>6</v>
      </c>
      <c r="K67" s="6"/>
      <c r="L67" s="6"/>
      <c r="M67" s="6"/>
      <c r="N67" s="6">
        <v>10</v>
      </c>
      <c r="O67" s="6"/>
      <c r="P67" s="6"/>
      <c r="Q67" s="6"/>
      <c r="R67" s="25">
        <v>14</v>
      </c>
      <c r="S67" s="6"/>
      <c r="T67" s="6"/>
      <c r="U67" s="6"/>
      <c r="V67" s="6"/>
      <c r="W67" s="6"/>
      <c r="X67" s="6">
        <v>20</v>
      </c>
      <c r="Y67" s="6"/>
      <c r="Z67" s="25">
        <v>22</v>
      </c>
      <c r="AA67" s="6"/>
      <c r="AB67" s="6"/>
      <c r="AC67" s="6"/>
      <c r="AD67" s="6"/>
      <c r="AE67" s="25"/>
      <c r="AF67" s="6"/>
      <c r="AG67" s="25">
        <v>29</v>
      </c>
      <c r="AH67" s="6">
        <v>30</v>
      </c>
      <c r="AI67" s="25">
        <v>31</v>
      </c>
      <c r="AJ67" s="6"/>
      <c r="AK67" s="6"/>
      <c r="AL67" s="6"/>
      <c r="AM67" s="6"/>
      <c r="AN67" s="25">
        <v>36</v>
      </c>
      <c r="AO67" s="6"/>
      <c r="AP67" s="6"/>
      <c r="AQ67" s="6"/>
      <c r="AR67" s="6">
        <v>40</v>
      </c>
      <c r="AS67" s="6"/>
      <c r="AT67" s="6"/>
      <c r="AU67" s="6"/>
      <c r="AV67" s="6"/>
      <c r="AW67" s="6"/>
      <c r="AX67" s="25">
        <v>46</v>
      </c>
      <c r="AY67" s="6"/>
      <c r="AZ67" s="6"/>
      <c r="BA67" s="6"/>
      <c r="BB67" s="6">
        <v>50</v>
      </c>
      <c r="BC67" s="6"/>
      <c r="BD67" s="6"/>
      <c r="BE67" s="6"/>
      <c r="BF67" s="6"/>
      <c r="BG67" s="6"/>
      <c r="BH67" s="25">
        <v>56</v>
      </c>
      <c r="BI67" s="6"/>
      <c r="BJ67" s="25">
        <v>58</v>
      </c>
      <c r="BK67" s="6"/>
      <c r="BL67" s="6">
        <v>60</v>
      </c>
      <c r="BM67" s="6"/>
      <c r="BN67" s="6"/>
      <c r="BO67" s="6"/>
      <c r="BP67" s="6"/>
      <c r="BQ67" s="6"/>
      <c r="BR67" s="6"/>
      <c r="BS67" s="6"/>
      <c r="BT67" s="6"/>
      <c r="BU67" s="6"/>
      <c r="BV67" s="6">
        <v>70</v>
      </c>
      <c r="BW67" s="6"/>
      <c r="BX67" s="6"/>
      <c r="BY67" s="6"/>
      <c r="BZ67" s="6"/>
      <c r="CA67" s="6"/>
      <c r="CB67" s="6"/>
      <c r="CC67" s="6"/>
      <c r="CD67" s="6"/>
      <c r="CE67" s="6"/>
      <c r="CF67" s="6">
        <v>80</v>
      </c>
      <c r="CG67" s="6"/>
      <c r="CH67" s="6"/>
      <c r="CI67" s="6"/>
      <c r="CJ67" s="25">
        <v>84</v>
      </c>
    </row>
    <row r="68" spans="2:88" ht="15" customHeight="1" x14ac:dyDescent="0.3">
      <c r="D68" s="4"/>
      <c r="E68" s="8"/>
      <c r="F68" s="9"/>
      <c r="G68" s="9"/>
      <c r="H68" s="9"/>
      <c r="I68" s="9"/>
      <c r="J68" s="9"/>
      <c r="K68" s="9"/>
      <c r="L68" s="9"/>
      <c r="M68" s="9"/>
      <c r="N68" s="11"/>
      <c r="O68" s="8"/>
      <c r="P68" s="9"/>
      <c r="Q68" s="9"/>
      <c r="R68" s="9"/>
      <c r="S68" s="9"/>
      <c r="T68" s="9"/>
      <c r="U68" s="9"/>
      <c r="V68" s="9"/>
      <c r="W68" s="9"/>
      <c r="X68" s="11"/>
      <c r="Y68" s="8"/>
      <c r="Z68" s="9"/>
      <c r="AA68" s="9"/>
      <c r="AB68" s="9"/>
      <c r="AC68" s="9"/>
      <c r="AD68" s="9"/>
      <c r="AE68" s="9"/>
      <c r="AF68" s="9"/>
      <c r="AG68" s="9"/>
      <c r="AH68" s="11"/>
      <c r="AI68" s="8"/>
      <c r="AJ68" s="9"/>
      <c r="AK68" s="9"/>
      <c r="AL68" s="9"/>
      <c r="AM68" s="9"/>
      <c r="AN68" s="9"/>
      <c r="AO68" s="9"/>
      <c r="AP68" s="9"/>
      <c r="AQ68" s="9"/>
      <c r="AR68" s="11"/>
      <c r="AS68" s="8"/>
      <c r="AT68" s="9"/>
      <c r="AU68" s="9"/>
      <c r="AV68" s="9"/>
      <c r="AW68" s="9"/>
      <c r="AX68" s="9"/>
      <c r="AY68" s="9"/>
      <c r="AZ68" s="9"/>
      <c r="BA68" s="9"/>
      <c r="BB68" s="11"/>
      <c r="BC68" s="8"/>
      <c r="BD68" s="9"/>
      <c r="BE68" s="9"/>
      <c r="BF68" s="9"/>
      <c r="BG68" s="9"/>
      <c r="BH68" s="9"/>
      <c r="BI68" s="9"/>
      <c r="BJ68" s="9"/>
      <c r="BK68" s="9"/>
      <c r="BL68" s="10"/>
      <c r="BM68" s="8"/>
      <c r="BN68" s="9"/>
      <c r="BO68" s="9"/>
      <c r="BP68" s="9"/>
      <c r="BQ68" s="9"/>
      <c r="BR68" s="9"/>
      <c r="BS68" s="9"/>
      <c r="BT68" s="9"/>
      <c r="BU68" s="9"/>
      <c r="BV68" s="10"/>
      <c r="BW68" s="8"/>
      <c r="BX68" s="9"/>
      <c r="BY68" s="9"/>
      <c r="BZ68" s="9"/>
      <c r="CA68" s="9"/>
      <c r="CB68" s="9"/>
      <c r="CC68" s="9"/>
      <c r="CD68" s="9"/>
      <c r="CE68" s="9"/>
      <c r="CF68" s="10"/>
      <c r="CG68" s="8"/>
      <c r="CH68" s="9"/>
      <c r="CI68" s="9"/>
      <c r="CJ68" s="9"/>
    </row>
    <row r="69" spans="2:88" ht="15" customHeight="1" x14ac:dyDescent="0.3">
      <c r="D69" s="26"/>
      <c r="F69" s="13"/>
      <c r="J69" s="13"/>
      <c r="R69" s="13"/>
      <c r="Z69" s="13"/>
      <c r="AG69" s="13"/>
      <c r="AI69" s="13"/>
      <c r="AN69" s="13"/>
      <c r="AX69" s="13"/>
      <c r="BH69" s="13"/>
      <c r="BJ69" s="13"/>
      <c r="CF69" s="26"/>
      <c r="CJ69" s="13"/>
    </row>
    <row r="70" spans="2:88" ht="15" customHeight="1" x14ac:dyDescent="0.3">
      <c r="D70" s="26"/>
      <c r="F70" s="13"/>
      <c r="J70" s="13"/>
      <c r="R70" s="13"/>
      <c r="Z70" s="13"/>
      <c r="AG70" s="13"/>
      <c r="AI70" s="13"/>
      <c r="AN70" s="13"/>
      <c r="AX70" s="13"/>
      <c r="BH70" s="13"/>
      <c r="BJ70" s="13"/>
      <c r="CF70" s="26"/>
      <c r="CJ70" s="13"/>
    </row>
    <row r="71" spans="2:88" ht="15" customHeight="1" x14ac:dyDescent="0.3">
      <c r="D71" s="26"/>
      <c r="F71" s="13"/>
      <c r="J71" s="13"/>
      <c r="R71" s="13"/>
      <c r="Z71" s="13"/>
      <c r="AG71" s="13"/>
      <c r="AH71" s="30">
        <v>45</v>
      </c>
      <c r="AI71" s="13"/>
      <c r="AN71" s="13"/>
      <c r="AX71" s="13"/>
      <c r="BH71" s="28">
        <v>45</v>
      </c>
      <c r="BJ71" s="13"/>
      <c r="CF71" s="26"/>
      <c r="CJ71" s="13"/>
    </row>
    <row r="72" spans="2:88" ht="15" customHeight="1" x14ac:dyDescent="0.3">
      <c r="D72" s="26"/>
      <c r="F72" s="13"/>
      <c r="J72" s="13"/>
      <c r="R72" s="13"/>
      <c r="Z72" s="13"/>
      <c r="AG72" s="13"/>
      <c r="AI72" s="13"/>
      <c r="AN72" s="13"/>
      <c r="AX72" s="13"/>
      <c r="BJ72" s="13"/>
      <c r="CF72" s="26"/>
      <c r="CJ72" s="13"/>
    </row>
    <row r="73" spans="2:88" ht="15" customHeight="1" x14ac:dyDescent="0.3">
      <c r="C73" s="84">
        <v>550</v>
      </c>
      <c r="D73" s="85"/>
      <c r="F73" s="13"/>
      <c r="J73" s="13"/>
      <c r="R73" s="13"/>
      <c r="Y73" s="76">
        <v>550</v>
      </c>
      <c r="Z73" s="76"/>
      <c r="AA73" s="29">
        <v>75</v>
      </c>
      <c r="AG73" s="31">
        <v>75</v>
      </c>
      <c r="AH73" s="77">
        <v>525</v>
      </c>
      <c r="AI73" s="87"/>
      <c r="AN73" s="13"/>
      <c r="AW73" s="86">
        <v>525</v>
      </c>
      <c r="AX73" s="86"/>
      <c r="BJ73" s="13"/>
      <c r="CF73" s="26"/>
      <c r="CJ73" s="13"/>
    </row>
    <row r="74" spans="2:88" ht="15" customHeight="1" x14ac:dyDescent="0.3">
      <c r="D74" s="26"/>
      <c r="F74" s="13"/>
      <c r="J74" s="13"/>
      <c r="R74" s="13"/>
      <c r="AI74" s="13"/>
      <c r="AN74" s="13"/>
      <c r="BJ74" s="13"/>
      <c r="CF74" s="26"/>
      <c r="CJ74" s="13"/>
    </row>
    <row r="75" spans="2:88" x14ac:dyDescent="0.3">
      <c r="B75" s="4"/>
      <c r="C75" s="4"/>
      <c r="D75" s="5"/>
      <c r="F75" s="13"/>
      <c r="J75" s="13"/>
      <c r="R75" s="13"/>
      <c r="AI75" s="13"/>
      <c r="AN75" s="13"/>
      <c r="BJ75" s="13"/>
      <c r="CF75" s="26"/>
      <c r="CJ75" s="13"/>
    </row>
    <row r="76" spans="2:88" x14ac:dyDescent="0.3">
      <c r="D76" s="26"/>
      <c r="F76" s="13"/>
      <c r="J76" s="13"/>
      <c r="R76" s="13"/>
      <c r="AI76" s="13"/>
      <c r="AN76" s="13"/>
      <c r="BJ76" s="13"/>
      <c r="CF76" s="26"/>
      <c r="CJ76" s="13"/>
    </row>
    <row r="77" spans="2:88" ht="18" customHeight="1" x14ac:dyDescent="0.3">
      <c r="D77" s="27">
        <v>95</v>
      </c>
      <c r="E77" s="4"/>
      <c r="F77" s="28">
        <v>95</v>
      </c>
      <c r="G77" s="29">
        <v>55</v>
      </c>
      <c r="H77" s="4"/>
      <c r="I77" s="4"/>
      <c r="J77" s="28">
        <v>55</v>
      </c>
      <c r="K77" s="4"/>
      <c r="L77" s="4"/>
      <c r="M77" s="4"/>
      <c r="N77" s="4"/>
      <c r="O77" s="4"/>
      <c r="P77" s="4"/>
      <c r="Q77" s="4"/>
      <c r="R77" s="13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13"/>
      <c r="AJ77" s="77">
        <v>200</v>
      </c>
      <c r="AK77" s="77"/>
      <c r="AL77" s="4"/>
      <c r="AM77" s="76">
        <v>200</v>
      </c>
      <c r="AN77" s="76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13"/>
      <c r="BK77" s="77">
        <v>650</v>
      </c>
      <c r="BL77" s="77"/>
      <c r="BM77" s="4"/>
      <c r="BN77" s="4"/>
      <c r="BO77" s="4"/>
      <c r="BP77" s="4"/>
      <c r="BQ77" s="4"/>
      <c r="BR77" s="4"/>
      <c r="BS77" s="4"/>
      <c r="BT77" s="4"/>
      <c r="CE77" s="76">
        <v>650</v>
      </c>
      <c r="CF77" s="76"/>
      <c r="CJ77" s="13"/>
    </row>
    <row r="78" spans="2:88" ht="18" customHeight="1" x14ac:dyDescent="0.3">
      <c r="D78" s="26"/>
      <c r="R78" s="13"/>
      <c r="AI78" s="13"/>
      <c r="BJ78" s="13"/>
      <c r="CJ78" s="13"/>
    </row>
    <row r="79" spans="2:88" ht="18" customHeight="1" x14ac:dyDescent="0.3">
      <c r="D79" s="26"/>
      <c r="R79" s="13"/>
      <c r="AI79" s="13"/>
      <c r="BJ79" s="13"/>
      <c r="CJ79" s="13"/>
    </row>
    <row r="80" spans="2:88" ht="18" customHeight="1" x14ac:dyDescent="0.3">
      <c r="D80" s="29">
        <v>25</v>
      </c>
      <c r="R80" s="28">
        <v>25</v>
      </c>
      <c r="S80" s="77">
        <v>500</v>
      </c>
      <c r="T80" s="77"/>
      <c r="AH80" s="86">
        <v>500</v>
      </c>
      <c r="AI80" s="86"/>
      <c r="AJ80" s="77">
        <v>175</v>
      </c>
      <c r="AK80" s="77"/>
      <c r="BI80" s="76">
        <v>175</v>
      </c>
      <c r="BJ80" s="76"/>
      <c r="BK80" s="77">
        <v>800</v>
      </c>
      <c r="BL80" s="77"/>
      <c r="CI80" s="76">
        <v>800</v>
      </c>
      <c r="CJ80" s="76"/>
    </row>
    <row r="81" spans="3:89" ht="18" customHeight="1" thickBot="1" x14ac:dyDescent="0.35"/>
    <row r="82" spans="3:89" ht="18" customHeight="1" thickBot="1" x14ac:dyDescent="0.35">
      <c r="C82" s="78">
        <f>D80+D77+C73</f>
        <v>670</v>
      </c>
      <c r="D82" s="79"/>
      <c r="F82" s="80">
        <f>(F77+G77)/((1+J84)^2)</f>
        <v>148.51117546595384</v>
      </c>
      <c r="G82" s="81"/>
      <c r="J82" s="80">
        <f>J77/((1+J84)^6)</f>
        <v>53.378494288331211</v>
      </c>
      <c r="K82" s="81"/>
      <c r="R82" s="78">
        <f>(R80+S80)/((1+J84)^14)</f>
        <v>489.5921421000549</v>
      </c>
      <c r="S82" s="79"/>
      <c r="Z82" s="78">
        <f>(Y73+AA73)/(1+J84)^22</f>
        <v>560.04981576362832</v>
      </c>
      <c r="AA82" s="79"/>
      <c r="AF82" s="82">
        <f>(AG73+AH73+AH71)/((1+J84)^29)</f>
        <v>558.14099684235566</v>
      </c>
      <c r="AG82" s="83"/>
      <c r="AI82" s="78">
        <f>(AH80+AJ80+AJ77)/((1+J84)^31)</f>
        <v>749.65275015191537</v>
      </c>
      <c r="AJ82" s="79"/>
      <c r="AN82" s="78">
        <f>AM77/((1+J84)^36)</f>
        <v>167.12898376073503</v>
      </c>
      <c r="AO82" s="79"/>
      <c r="AX82" s="78">
        <f>AW73/((1+J84)^46)</f>
        <v>417.36926314493076</v>
      </c>
      <c r="AY82" s="79"/>
      <c r="BG82" s="78">
        <f>BH71/((1+J84)^56)</f>
        <v>34.034004771665664</v>
      </c>
      <c r="BH82" s="79"/>
      <c r="BJ82" s="78">
        <f>(BI80+BK80+BK77)/((1+J84)^58)</f>
        <v>1216.8072353315067</v>
      </c>
      <c r="BK82" s="79"/>
      <c r="CF82" s="78">
        <f>CE77/((1+J84)^80)</f>
        <v>436.14250749904653</v>
      </c>
      <c r="CG82" s="79"/>
      <c r="CJ82" s="78">
        <f>CI80/((1+J84)^84)</f>
        <v>526.18783025788628</v>
      </c>
      <c r="CK82" s="79"/>
    </row>
    <row r="83" spans="3:89" ht="18" customHeight="1" thickBot="1" x14ac:dyDescent="0.35"/>
    <row r="84" spans="3:89" ht="18" customHeight="1" thickBot="1" x14ac:dyDescent="0.35">
      <c r="C84" s="90" t="s">
        <v>43</v>
      </c>
      <c r="D84" s="91"/>
      <c r="E84" s="91"/>
      <c r="F84" s="91"/>
      <c r="G84" s="91"/>
      <c r="H84" s="91"/>
      <c r="I84" s="91"/>
      <c r="J84" s="92">
        <v>5.0000000000000001E-3</v>
      </c>
      <c r="K84" s="93"/>
    </row>
    <row r="85" spans="3:89" ht="18" customHeight="1" thickBot="1" x14ac:dyDescent="0.35"/>
    <row r="86" spans="3:89" ht="18" customHeight="1" x14ac:dyDescent="0.3">
      <c r="C86" s="94" t="s">
        <v>50</v>
      </c>
      <c r="D86" s="95"/>
      <c r="E86" s="95"/>
      <c r="F86" s="95"/>
      <c r="G86" s="98">
        <f>SUM(C82:CK82)</f>
        <v>6026.9951993780105</v>
      </c>
      <c r="H86" s="98"/>
      <c r="I86" s="98"/>
      <c r="J86" s="99"/>
    </row>
    <row r="87" spans="3:89" ht="18" customHeight="1" thickBot="1" x14ac:dyDescent="0.35">
      <c r="C87" s="96"/>
      <c r="D87" s="97"/>
      <c r="E87" s="97"/>
      <c r="F87" s="97"/>
      <c r="G87" s="100"/>
      <c r="H87" s="100"/>
      <c r="I87" s="100"/>
      <c r="J87" s="101"/>
    </row>
    <row r="88" spans="3:89" ht="18" customHeight="1" x14ac:dyDescent="0.3"/>
    <row r="89" spans="3:89" ht="18" customHeight="1" x14ac:dyDescent="0.3"/>
    <row r="90" spans="3:89" ht="18" customHeight="1" x14ac:dyDescent="0.3"/>
    <row r="91" spans="3:89" ht="18" customHeight="1" x14ac:dyDescent="0.3"/>
    <row r="92" spans="3:89" ht="18" customHeight="1" x14ac:dyDescent="0.3"/>
    <row r="93" spans="3:89" ht="18" customHeight="1" x14ac:dyDescent="0.3"/>
    <row r="94" spans="3:89" ht="18" customHeight="1" x14ac:dyDescent="0.3"/>
    <row r="95" spans="3:89" ht="18" customHeight="1" x14ac:dyDescent="0.3"/>
    <row r="96" spans="3:89" ht="18" customHeight="1" x14ac:dyDescent="0.3"/>
    <row r="97" ht="18" customHeight="1" x14ac:dyDescent="0.3"/>
    <row r="98" ht="18" customHeight="1" x14ac:dyDescent="0.3"/>
    <row r="99" ht="18" customHeight="1" x14ac:dyDescent="0.3"/>
    <row r="100" ht="18" customHeight="1" x14ac:dyDescent="0.3"/>
    <row r="101" ht="18" customHeight="1" x14ac:dyDescent="0.3"/>
    <row r="102" ht="18" customHeight="1" x14ac:dyDescent="0.3"/>
    <row r="103" ht="18" customHeight="1" x14ac:dyDescent="0.3"/>
    <row r="104" ht="18" customHeight="1" x14ac:dyDescent="0.3"/>
    <row r="105" ht="18" customHeight="1" x14ac:dyDescent="0.3"/>
    <row r="106" ht="18" customHeight="1" x14ac:dyDescent="0.3"/>
    <row r="107" ht="18" customHeight="1" x14ac:dyDescent="0.3"/>
    <row r="108" ht="18" customHeight="1" x14ac:dyDescent="0.3"/>
    <row r="109" ht="18" customHeight="1" x14ac:dyDescent="0.3"/>
    <row r="110" ht="18" customHeight="1" x14ac:dyDescent="0.3"/>
    <row r="111" ht="18" customHeight="1" x14ac:dyDescent="0.3"/>
    <row r="112" ht="18" customHeight="1" x14ac:dyDescent="0.3"/>
    <row r="113" ht="18" customHeight="1" x14ac:dyDescent="0.3"/>
    <row r="114" ht="18" customHeight="1" x14ac:dyDescent="0.3"/>
    <row r="115" ht="18" customHeight="1" x14ac:dyDescent="0.3"/>
    <row r="116" ht="18" customHeight="1" x14ac:dyDescent="0.3"/>
    <row r="117" ht="18" customHeight="1" x14ac:dyDescent="0.3"/>
    <row r="118" ht="18" customHeight="1" x14ac:dyDescent="0.3"/>
    <row r="119" ht="18" customHeight="1" x14ac:dyDescent="0.3"/>
    <row r="120" ht="18" customHeight="1" x14ac:dyDescent="0.3"/>
    <row r="121" ht="18" customHeight="1" x14ac:dyDescent="0.3"/>
    <row r="122" ht="18" customHeight="1" x14ac:dyDescent="0.3"/>
    <row r="123" ht="18" customHeight="1" x14ac:dyDescent="0.3"/>
    <row r="124" ht="18" customHeight="1" x14ac:dyDescent="0.3"/>
    <row r="125" ht="18" customHeight="1" x14ac:dyDescent="0.3"/>
    <row r="126" ht="18" customHeight="1" x14ac:dyDescent="0.3"/>
    <row r="127" ht="18" customHeight="1" x14ac:dyDescent="0.3"/>
    <row r="128" ht="18" customHeight="1" x14ac:dyDescent="0.3"/>
    <row r="129" ht="18" customHeight="1" x14ac:dyDescent="0.3"/>
    <row r="130" ht="18" customHeight="1" x14ac:dyDescent="0.3"/>
    <row r="131" ht="18" customHeight="1" x14ac:dyDescent="0.3"/>
    <row r="132" ht="18" customHeight="1" x14ac:dyDescent="0.3"/>
    <row r="133" ht="18" customHeight="1" x14ac:dyDescent="0.3"/>
    <row r="134" ht="18" customHeight="1" x14ac:dyDescent="0.3"/>
    <row r="135" ht="18" customHeight="1" x14ac:dyDescent="0.3"/>
    <row r="136" ht="18" customHeight="1" x14ac:dyDescent="0.3"/>
    <row r="137" ht="18" customHeight="1" x14ac:dyDescent="0.3"/>
    <row r="138" ht="18" customHeight="1" x14ac:dyDescent="0.3"/>
    <row r="139" ht="18" customHeight="1" x14ac:dyDescent="0.3"/>
    <row r="140" ht="18" customHeight="1" x14ac:dyDescent="0.3"/>
    <row r="141" ht="18" customHeight="1" x14ac:dyDescent="0.3"/>
    <row r="142" ht="18" customHeight="1" x14ac:dyDescent="0.3"/>
    <row r="143" ht="18" customHeight="1" x14ac:dyDescent="0.3"/>
    <row r="144" ht="18" customHeight="1" x14ac:dyDescent="0.3"/>
    <row r="145" ht="18" customHeight="1" x14ac:dyDescent="0.3"/>
    <row r="146" ht="18" customHeight="1" x14ac:dyDescent="0.3"/>
    <row r="147" ht="18" customHeight="1" x14ac:dyDescent="0.3"/>
    <row r="148" ht="18" customHeight="1" x14ac:dyDescent="0.3"/>
    <row r="149" ht="18" customHeight="1" x14ac:dyDescent="0.3"/>
    <row r="150" ht="18" customHeight="1" x14ac:dyDescent="0.3"/>
    <row r="151" ht="18" customHeight="1" x14ac:dyDescent="0.3"/>
    <row r="152" ht="18" customHeight="1" x14ac:dyDescent="0.3"/>
    <row r="153" ht="18" customHeight="1" x14ac:dyDescent="0.3"/>
    <row r="154" ht="18" customHeight="1" x14ac:dyDescent="0.3"/>
    <row r="155" ht="18" customHeight="1" x14ac:dyDescent="0.3"/>
    <row r="156" ht="18" customHeight="1" x14ac:dyDescent="0.3"/>
    <row r="157" ht="18" customHeight="1" x14ac:dyDescent="0.3"/>
    <row r="158" ht="18" customHeight="1" x14ac:dyDescent="0.3"/>
    <row r="159" ht="18" customHeight="1" x14ac:dyDescent="0.3"/>
    <row r="160" ht="18" customHeight="1" x14ac:dyDescent="0.3"/>
    <row r="161" ht="18" customHeight="1" x14ac:dyDescent="0.3"/>
    <row r="162" ht="18" customHeight="1" x14ac:dyDescent="0.3"/>
    <row r="163" ht="18" customHeight="1" x14ac:dyDescent="0.3"/>
    <row r="164" ht="18" customHeight="1" x14ac:dyDescent="0.3"/>
    <row r="165" ht="18" customHeight="1" x14ac:dyDescent="0.3"/>
    <row r="166" ht="18" customHeight="1" x14ac:dyDescent="0.3"/>
    <row r="167" ht="18" customHeight="1" x14ac:dyDescent="0.3"/>
    <row r="168" ht="18" customHeight="1" x14ac:dyDescent="0.3"/>
    <row r="169" ht="18" customHeight="1" x14ac:dyDescent="0.3"/>
    <row r="170" ht="18" customHeight="1" x14ac:dyDescent="0.3"/>
    <row r="171" ht="18" customHeight="1" x14ac:dyDescent="0.3"/>
    <row r="172" ht="18" customHeight="1" x14ac:dyDescent="0.3"/>
    <row r="173" ht="18" customHeight="1" x14ac:dyDescent="0.3"/>
    <row r="174" ht="18" customHeight="1" x14ac:dyDescent="0.3"/>
    <row r="175" ht="18" customHeight="1" x14ac:dyDescent="0.3"/>
    <row r="176" ht="18" customHeight="1" x14ac:dyDescent="0.3"/>
    <row r="177" ht="18" customHeight="1" x14ac:dyDescent="0.3"/>
    <row r="178" ht="18" customHeight="1" x14ac:dyDescent="0.3"/>
    <row r="179" ht="18" customHeight="1" x14ac:dyDescent="0.3"/>
    <row r="180" ht="18" customHeight="1" x14ac:dyDescent="0.3"/>
    <row r="181" ht="18" customHeight="1" x14ac:dyDescent="0.3"/>
    <row r="182" ht="18" customHeight="1" x14ac:dyDescent="0.3"/>
    <row r="183" ht="18" customHeight="1" x14ac:dyDescent="0.3"/>
    <row r="184" ht="18" customHeight="1" x14ac:dyDescent="0.3"/>
    <row r="185" ht="18" customHeight="1" x14ac:dyDescent="0.3"/>
    <row r="186" ht="18" customHeight="1" x14ac:dyDescent="0.3"/>
    <row r="187" ht="18" customHeight="1" x14ac:dyDescent="0.3"/>
    <row r="188" ht="18" customHeight="1" x14ac:dyDescent="0.3"/>
    <row r="189" ht="18" customHeight="1" x14ac:dyDescent="0.3"/>
    <row r="190" ht="18" customHeight="1" x14ac:dyDescent="0.3"/>
    <row r="191" ht="18" customHeight="1" x14ac:dyDescent="0.3"/>
    <row r="192" ht="18" customHeight="1" x14ac:dyDescent="0.3"/>
    <row r="193" ht="18" customHeight="1" x14ac:dyDescent="0.3"/>
    <row r="194" ht="18" customHeight="1" x14ac:dyDescent="0.3"/>
    <row r="195" ht="18" customHeight="1" x14ac:dyDescent="0.3"/>
    <row r="196" ht="18" customHeight="1" x14ac:dyDescent="0.3"/>
    <row r="197" ht="18" customHeight="1" x14ac:dyDescent="0.3"/>
    <row r="198" ht="18" customHeight="1" x14ac:dyDescent="0.3"/>
    <row r="199" ht="18" customHeight="1" x14ac:dyDescent="0.3"/>
    <row r="200" ht="18" customHeight="1" x14ac:dyDescent="0.3"/>
    <row r="201" ht="18" customHeight="1" x14ac:dyDescent="0.3"/>
    <row r="202" ht="18" customHeight="1" x14ac:dyDescent="0.3"/>
    <row r="203" ht="18" customHeight="1" x14ac:dyDescent="0.3"/>
    <row r="204" ht="18" customHeight="1" x14ac:dyDescent="0.3"/>
    <row r="205" ht="18" customHeight="1" x14ac:dyDescent="0.3"/>
    <row r="206" ht="18" customHeight="1" x14ac:dyDescent="0.3"/>
    <row r="207" ht="18" customHeight="1" x14ac:dyDescent="0.3"/>
    <row r="208" ht="18" customHeight="1" x14ac:dyDescent="0.3"/>
    <row r="209" ht="18" customHeight="1" x14ac:dyDescent="0.3"/>
    <row r="210" ht="18" customHeight="1" x14ac:dyDescent="0.3"/>
    <row r="211" ht="18" customHeight="1" x14ac:dyDescent="0.3"/>
    <row r="212" ht="18" customHeight="1" x14ac:dyDescent="0.3"/>
    <row r="213" ht="18" customHeight="1" x14ac:dyDescent="0.3"/>
    <row r="214" ht="18" customHeight="1" x14ac:dyDescent="0.3"/>
    <row r="215" ht="18" customHeight="1" x14ac:dyDescent="0.3"/>
    <row r="216" ht="18" customHeight="1" x14ac:dyDescent="0.3"/>
    <row r="217" ht="18" customHeight="1" x14ac:dyDescent="0.3"/>
    <row r="218" ht="18" customHeight="1" x14ac:dyDescent="0.3"/>
    <row r="219" ht="18" customHeight="1" x14ac:dyDescent="0.3"/>
    <row r="220" ht="18" customHeight="1" x14ac:dyDescent="0.3"/>
    <row r="221" ht="18" customHeight="1" x14ac:dyDescent="0.3"/>
    <row r="222" ht="18" customHeight="1" x14ac:dyDescent="0.3"/>
    <row r="223" ht="18" customHeight="1" x14ac:dyDescent="0.3"/>
    <row r="224" ht="18" customHeight="1" x14ac:dyDescent="0.3"/>
    <row r="225" ht="18" customHeight="1" x14ac:dyDescent="0.3"/>
    <row r="226" ht="18" customHeight="1" x14ac:dyDescent="0.3"/>
    <row r="227" ht="18" customHeight="1" x14ac:dyDescent="0.3"/>
    <row r="228" ht="18" customHeight="1" x14ac:dyDescent="0.3"/>
    <row r="229" ht="18" customHeight="1" x14ac:dyDescent="0.3"/>
    <row r="230" ht="18" customHeight="1" x14ac:dyDescent="0.3"/>
    <row r="231" ht="18" customHeight="1" x14ac:dyDescent="0.3"/>
    <row r="232" ht="18" customHeight="1" x14ac:dyDescent="0.3"/>
    <row r="233" ht="18" customHeight="1" x14ac:dyDescent="0.3"/>
    <row r="234" ht="18" customHeight="1" x14ac:dyDescent="0.3"/>
    <row r="235" ht="18" customHeight="1" x14ac:dyDescent="0.3"/>
    <row r="236" ht="18" customHeight="1" x14ac:dyDescent="0.3"/>
    <row r="237" ht="18" customHeight="1" x14ac:dyDescent="0.3"/>
    <row r="238" ht="18" customHeight="1" x14ac:dyDescent="0.3"/>
    <row r="239" ht="18" customHeight="1" x14ac:dyDescent="0.3"/>
    <row r="240" ht="18" customHeight="1" x14ac:dyDescent="0.3"/>
    <row r="241" ht="18" customHeight="1" x14ac:dyDescent="0.3"/>
    <row r="242" ht="18" customHeight="1" x14ac:dyDescent="0.3"/>
    <row r="243" ht="18" customHeight="1" x14ac:dyDescent="0.3"/>
    <row r="244" ht="18" customHeight="1" x14ac:dyDescent="0.3"/>
    <row r="245" ht="18" customHeight="1" x14ac:dyDescent="0.3"/>
    <row r="246" ht="18" customHeight="1" x14ac:dyDescent="0.3"/>
    <row r="247" ht="18" customHeight="1" x14ac:dyDescent="0.3"/>
    <row r="248" ht="18" customHeight="1" x14ac:dyDescent="0.3"/>
    <row r="249" ht="18" customHeight="1" x14ac:dyDescent="0.3"/>
    <row r="250" ht="18" customHeight="1" x14ac:dyDescent="0.3"/>
    <row r="251" ht="18" customHeight="1" x14ac:dyDescent="0.3"/>
    <row r="252" ht="18" customHeight="1" x14ac:dyDescent="0.3"/>
    <row r="253" ht="18" customHeight="1" x14ac:dyDescent="0.3"/>
    <row r="254" ht="18" customHeight="1" x14ac:dyDescent="0.3"/>
    <row r="255" ht="18" customHeight="1" x14ac:dyDescent="0.3"/>
    <row r="256" ht="18" customHeight="1" x14ac:dyDescent="0.3"/>
    <row r="257" ht="18" customHeight="1" x14ac:dyDescent="0.3"/>
    <row r="258" ht="18" customHeight="1" x14ac:dyDescent="0.3"/>
    <row r="259" ht="18" customHeight="1" x14ac:dyDescent="0.3"/>
    <row r="260" ht="18" customHeight="1" x14ac:dyDescent="0.3"/>
    <row r="261" ht="18" customHeight="1" x14ac:dyDescent="0.3"/>
    <row r="262" ht="18" customHeight="1" x14ac:dyDescent="0.3"/>
    <row r="263" ht="18" customHeight="1" x14ac:dyDescent="0.3"/>
    <row r="264" ht="18" customHeight="1" x14ac:dyDescent="0.3"/>
    <row r="265" ht="18" customHeight="1" x14ac:dyDescent="0.3"/>
    <row r="266" ht="18" customHeight="1" x14ac:dyDescent="0.3"/>
    <row r="267" ht="18" customHeight="1" x14ac:dyDescent="0.3"/>
    <row r="268" ht="18" customHeight="1" x14ac:dyDescent="0.3"/>
    <row r="269" ht="18" customHeight="1" x14ac:dyDescent="0.3"/>
    <row r="270" ht="18" customHeight="1" x14ac:dyDescent="0.3"/>
    <row r="271" ht="18" customHeight="1" x14ac:dyDescent="0.3"/>
    <row r="272" ht="18" customHeight="1" x14ac:dyDescent="0.3"/>
    <row r="273" ht="18" customHeight="1" x14ac:dyDescent="0.3"/>
    <row r="274" ht="18" customHeight="1" x14ac:dyDescent="0.3"/>
    <row r="275" ht="18" customHeight="1" x14ac:dyDescent="0.3"/>
    <row r="276" ht="18" customHeight="1" x14ac:dyDescent="0.3"/>
    <row r="277" ht="18" customHeight="1" x14ac:dyDescent="0.3"/>
    <row r="278" ht="18" customHeight="1" x14ac:dyDescent="0.3"/>
    <row r="279" ht="18" customHeight="1" x14ac:dyDescent="0.3"/>
    <row r="280" ht="18" customHeight="1" x14ac:dyDescent="0.3"/>
    <row r="281" ht="18" customHeight="1" x14ac:dyDescent="0.3"/>
    <row r="282" ht="18" customHeight="1" x14ac:dyDescent="0.3"/>
    <row r="283" ht="18" customHeight="1" x14ac:dyDescent="0.3"/>
    <row r="284" ht="18" customHeight="1" x14ac:dyDescent="0.3"/>
    <row r="285" ht="18" customHeight="1" x14ac:dyDescent="0.3"/>
    <row r="286" ht="18" customHeight="1" x14ac:dyDescent="0.3"/>
    <row r="287" ht="18" customHeight="1" x14ac:dyDescent="0.3"/>
    <row r="288" ht="18" customHeight="1" x14ac:dyDescent="0.3"/>
    <row r="289" ht="18" customHeight="1" x14ac:dyDescent="0.3"/>
    <row r="290" ht="18" customHeight="1" x14ac:dyDescent="0.3"/>
    <row r="291" ht="18" customHeight="1" x14ac:dyDescent="0.3"/>
    <row r="292" ht="18" customHeight="1" x14ac:dyDescent="0.3"/>
    <row r="293" ht="18" customHeight="1" x14ac:dyDescent="0.3"/>
    <row r="294" ht="18" customHeight="1" x14ac:dyDescent="0.3"/>
    <row r="295" ht="18" customHeight="1" x14ac:dyDescent="0.3"/>
    <row r="296" ht="18" customHeight="1" x14ac:dyDescent="0.3"/>
    <row r="297" ht="18" customHeight="1" x14ac:dyDescent="0.3"/>
    <row r="298" ht="18" customHeight="1" x14ac:dyDescent="0.3"/>
    <row r="299" ht="18" customHeight="1" x14ac:dyDescent="0.3"/>
    <row r="300" ht="18" customHeight="1" x14ac:dyDescent="0.3"/>
    <row r="301" ht="18" customHeight="1" x14ac:dyDescent="0.3"/>
    <row r="302" ht="18" customHeight="1" x14ac:dyDescent="0.3"/>
    <row r="303" ht="18" customHeight="1" x14ac:dyDescent="0.3"/>
    <row r="304" ht="18" customHeight="1" x14ac:dyDescent="0.3"/>
    <row r="305" ht="18" customHeight="1" x14ac:dyDescent="0.3"/>
    <row r="306" ht="18" customHeight="1" x14ac:dyDescent="0.3"/>
    <row r="307" ht="18" customHeight="1" x14ac:dyDescent="0.3"/>
    <row r="308" ht="18" customHeight="1" x14ac:dyDescent="0.3"/>
    <row r="309" ht="18" customHeight="1" x14ac:dyDescent="0.3"/>
    <row r="310" ht="18" customHeight="1" x14ac:dyDescent="0.3"/>
    <row r="311" ht="18" customHeight="1" x14ac:dyDescent="0.3"/>
    <row r="312" ht="18" customHeight="1" x14ac:dyDescent="0.3"/>
    <row r="313" ht="18" customHeight="1" x14ac:dyDescent="0.3"/>
    <row r="314" ht="18" customHeight="1" x14ac:dyDescent="0.3"/>
    <row r="315" ht="18" customHeight="1" x14ac:dyDescent="0.3"/>
    <row r="316" ht="18" customHeight="1" x14ac:dyDescent="0.3"/>
    <row r="317" ht="18" customHeight="1" x14ac:dyDescent="0.3"/>
    <row r="318" ht="18" customHeight="1" x14ac:dyDescent="0.3"/>
    <row r="319" ht="18" customHeight="1" x14ac:dyDescent="0.3"/>
    <row r="320" ht="18" customHeight="1" x14ac:dyDescent="0.3"/>
    <row r="321" ht="18" customHeight="1" x14ac:dyDescent="0.3"/>
    <row r="322" ht="18" customHeight="1" x14ac:dyDescent="0.3"/>
    <row r="323" ht="18" customHeight="1" x14ac:dyDescent="0.3"/>
    <row r="324" ht="18" customHeight="1" x14ac:dyDescent="0.3"/>
    <row r="325" ht="18" customHeight="1" x14ac:dyDescent="0.3"/>
    <row r="326" ht="18" customHeight="1" x14ac:dyDescent="0.3"/>
    <row r="327" ht="18" customHeight="1" x14ac:dyDescent="0.3"/>
    <row r="328" ht="18" customHeight="1" x14ac:dyDescent="0.3"/>
  </sheetData>
  <mergeCells count="132">
    <mergeCell ref="CK59:CL60"/>
    <mergeCell ref="CK61:CL62"/>
    <mergeCell ref="BW59:BZ60"/>
    <mergeCell ref="C59:D62"/>
    <mergeCell ref="E59:F60"/>
    <mergeCell ref="E61:F62"/>
    <mergeCell ref="Q59:R62"/>
    <mergeCell ref="S59:T60"/>
    <mergeCell ref="S61:T62"/>
    <mergeCell ref="AH59:AI62"/>
    <mergeCell ref="AJ59:AK60"/>
    <mergeCell ref="AJ61:AK62"/>
    <mergeCell ref="I59:L60"/>
    <mergeCell ref="Y59:AB60"/>
    <mergeCell ref="BI59:BJ62"/>
    <mergeCell ref="BK59:BL60"/>
    <mergeCell ref="BK61:BL62"/>
    <mergeCell ref="AT59:AW60"/>
    <mergeCell ref="CI59:CJ62"/>
    <mergeCell ref="AF16:AH16"/>
    <mergeCell ref="AF17:AH17"/>
    <mergeCell ref="AF18:AH18"/>
    <mergeCell ref="AF19:AH19"/>
    <mergeCell ref="V13:X13"/>
    <mergeCell ref="Y12:AB12"/>
    <mergeCell ref="Y13:AB13"/>
    <mergeCell ref="Y14:AB14"/>
    <mergeCell ref="V14:X14"/>
    <mergeCell ref="V15:X15"/>
    <mergeCell ref="AF6:AH7"/>
    <mergeCell ref="AF8:AH8"/>
    <mergeCell ref="AF9:AH9"/>
    <mergeCell ref="AF10:AH10"/>
    <mergeCell ref="AF11:AH11"/>
    <mergeCell ref="AF12:AH12"/>
    <mergeCell ref="AF13:AH13"/>
    <mergeCell ref="AF14:AH14"/>
    <mergeCell ref="AF15:AH15"/>
    <mergeCell ref="C84:I84"/>
    <mergeCell ref="J84:K84"/>
    <mergeCell ref="C86:F87"/>
    <mergeCell ref="G86:J87"/>
    <mergeCell ref="B42:D42"/>
    <mergeCell ref="B43:D43"/>
    <mergeCell ref="B32:D32"/>
    <mergeCell ref="B31:D31"/>
    <mergeCell ref="B6:S2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V9:X9"/>
    <mergeCell ref="V10:X10"/>
    <mergeCell ref="V11:X11"/>
    <mergeCell ref="V12:X12"/>
    <mergeCell ref="V6:X7"/>
    <mergeCell ref="Y6:AB7"/>
    <mergeCell ref="AC6:AE7"/>
    <mergeCell ref="AC10:AE10"/>
    <mergeCell ref="AC11:AE11"/>
    <mergeCell ref="AC12:AE12"/>
    <mergeCell ref="Y11:AB11"/>
    <mergeCell ref="Y8:AB8"/>
    <mergeCell ref="Y9:AB9"/>
    <mergeCell ref="Y10:AB10"/>
    <mergeCell ref="AI17:AJ17"/>
    <mergeCell ref="AI18:AJ18"/>
    <mergeCell ref="AI19:AJ19"/>
    <mergeCell ref="C27:X28"/>
    <mergeCell ref="AC19:AE19"/>
    <mergeCell ref="V4:AE4"/>
    <mergeCell ref="AC13:AE13"/>
    <mergeCell ref="AC14:AE14"/>
    <mergeCell ref="AC15:AE15"/>
    <mergeCell ref="AC16:AE16"/>
    <mergeCell ref="AC17:AE17"/>
    <mergeCell ref="AC18:AE18"/>
    <mergeCell ref="Y15:AB15"/>
    <mergeCell ref="Y16:AB16"/>
    <mergeCell ref="Y17:AB17"/>
    <mergeCell ref="Y18:AB18"/>
    <mergeCell ref="Y19:AB19"/>
    <mergeCell ref="AC8:AE8"/>
    <mergeCell ref="AC9:AE9"/>
    <mergeCell ref="V16:X16"/>
    <mergeCell ref="V17:X17"/>
    <mergeCell ref="V18:X18"/>
    <mergeCell ref="V19:X19"/>
    <mergeCell ref="V8:X8"/>
    <mergeCell ref="AI8:AJ8"/>
    <mergeCell ref="AI9:AJ9"/>
    <mergeCell ref="AI10:AJ10"/>
    <mergeCell ref="AI11:AJ11"/>
    <mergeCell ref="AI12:AJ12"/>
    <mergeCell ref="AI13:AJ13"/>
    <mergeCell ref="AI14:AJ14"/>
    <mergeCell ref="AI15:AJ15"/>
    <mergeCell ref="AI16:AJ16"/>
    <mergeCell ref="C73:D73"/>
    <mergeCell ref="Y73:Z73"/>
    <mergeCell ref="S80:T80"/>
    <mergeCell ref="AH80:AI80"/>
    <mergeCell ref="AH73:AI73"/>
    <mergeCell ref="AW73:AX73"/>
    <mergeCell ref="AJ80:AK80"/>
    <mergeCell ref="BI80:BJ80"/>
    <mergeCell ref="S63:T63"/>
    <mergeCell ref="AH63:AI63"/>
    <mergeCell ref="CI80:CJ80"/>
    <mergeCell ref="BK80:BL80"/>
    <mergeCell ref="AJ77:AK77"/>
    <mergeCell ref="AM77:AN77"/>
    <mergeCell ref="BK77:BL77"/>
    <mergeCell ref="CE77:CF77"/>
    <mergeCell ref="C82:D82"/>
    <mergeCell ref="F82:G82"/>
    <mergeCell ref="J82:K82"/>
    <mergeCell ref="R82:S82"/>
    <mergeCell ref="Z82:AA82"/>
    <mergeCell ref="AF82:AG82"/>
    <mergeCell ref="AI82:AJ82"/>
    <mergeCell ref="AN82:AO82"/>
    <mergeCell ref="AX82:AY82"/>
    <mergeCell ref="BG82:BH82"/>
    <mergeCell ref="BJ82:BK82"/>
    <mergeCell ref="CF82:CG82"/>
    <mergeCell ref="CJ82:CK82"/>
  </mergeCells>
  <pageMargins left="0.7" right="0.7" top="0.75" bottom="0.75" header="0.3" footer="0.3"/>
  <pageSetup paperSize="8" scale="55" orientation="landscape" r:id="rId1"/>
  <drawing r:id="rId2"/>
</worksheet>
</file>

<file path=docMetadata/LabelInfo.xml><?xml version="1.0" encoding="utf-8"?>
<clbl:labelList xmlns:clbl="http://schemas.microsoft.com/office/2020/mipLabelMetadata">
  <clbl:label id="{bfd0b529-4a04-4616-88d2-531082d94bb8}" enabled="1" method="Standard" siteId="{e1f8af86-ee95-4718-bd0d-375b37366c8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CPM</vt:lpstr>
      <vt:lpstr>CPM (calendario)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guritaburongo</dc:creator>
  <cp:lastModifiedBy>Uriel Villalonga</cp:lastModifiedBy>
  <cp:lastPrinted>2013-06-13T12:03:27Z</cp:lastPrinted>
  <dcterms:created xsi:type="dcterms:W3CDTF">2012-04-11T12:21:13Z</dcterms:created>
  <dcterms:modified xsi:type="dcterms:W3CDTF">2025-07-12T00:55:31Z</dcterms:modified>
</cp:coreProperties>
</file>