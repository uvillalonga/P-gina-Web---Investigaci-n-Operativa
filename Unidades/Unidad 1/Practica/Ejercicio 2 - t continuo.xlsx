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61ea31542415b/4to Año/Invest Op/Unidad 1/Practica/"/>
    </mc:Choice>
  </mc:AlternateContent>
  <xr:revisionPtr revIDLastSave="231" documentId="8_{4A318B25-21E4-4375-92FD-E03CE08E9E05}" xr6:coauthVersionLast="47" xr6:coauthVersionMax="47" xr10:uidLastSave="{ED21EA90-D4AE-4464-8140-F1479CEA2099}"/>
  <bookViews>
    <workbookView xWindow="-108" yWindow="-108" windowWidth="23256" windowHeight="12456" activeTab="1" xr2:uid="{C3706D0A-6838-4CCA-9066-1100A6E24C46}"/>
  </bookViews>
  <sheets>
    <sheet name="Ej 1" sheetId="2" r:id="rId1"/>
    <sheet name="Ej 2" sheetId="1" r:id="rId2"/>
    <sheet name="Ej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J20" i="2"/>
  <c r="J17" i="2"/>
  <c r="J14" i="2"/>
  <c r="C18" i="2"/>
  <c r="J10" i="2" s="1"/>
  <c r="C17" i="2"/>
  <c r="M28" i="1" l="1"/>
  <c r="M21" i="1"/>
  <c r="M25" i="1"/>
  <c r="M16" i="1"/>
  <c r="D23" i="1"/>
  <c r="D22" i="1"/>
  <c r="D24" i="1"/>
  <c r="D31" i="1"/>
  <c r="C30" i="1"/>
</calcChain>
</file>

<file path=xl/sharedStrings.xml><?xml version="1.0" encoding="utf-8"?>
<sst xmlns="http://schemas.openxmlformats.org/spreadsheetml/2006/main" count="45" uniqueCount="34">
  <si>
    <t>λ</t>
  </si>
  <si>
    <r>
      <t>λ</t>
    </r>
    <r>
      <rPr>
        <b/>
        <sz val="10"/>
        <rFont val="Aptos Narrow"/>
        <family val="2"/>
        <scheme val="minor"/>
      </rPr>
      <t>n</t>
    </r>
  </si>
  <si>
    <t>para n = 2</t>
  </si>
  <si>
    <t>para n = 0,1</t>
  </si>
  <si>
    <t>µ</t>
  </si>
  <si>
    <r>
      <t>µ</t>
    </r>
    <r>
      <rPr>
        <b/>
        <sz val="10"/>
        <rFont val="Aptos Narrow"/>
        <family val="2"/>
        <scheme val="minor"/>
      </rPr>
      <t>n</t>
    </r>
  </si>
  <si>
    <t>para n = 0</t>
  </si>
  <si>
    <t>para n = 1,2</t>
  </si>
  <si>
    <t>Como me dice que reparar una maq representa una distribucion exponencial -&gt; Markov con t continuio</t>
  </si>
  <si>
    <t xml:space="preserve">µ = </t>
  </si>
  <si>
    <t>maq/dia</t>
  </si>
  <si>
    <t>Prob de que no se me rompa ninguna maquina</t>
  </si>
  <si>
    <t xml:space="preserve">Prob de que solo 1 de las maq este este en mantenimiento </t>
  </si>
  <si>
    <t>=</t>
  </si>
  <si>
    <t>Q</t>
  </si>
  <si>
    <t>Matriz de Transicion</t>
  </si>
  <si>
    <r>
      <t>λ</t>
    </r>
    <r>
      <rPr>
        <vertAlign val="subscript"/>
        <sz val="11"/>
        <color theme="1"/>
        <rFont val="Aptos Narrow"/>
        <family val="2"/>
        <scheme val="minor"/>
      </rPr>
      <t xml:space="preserve">(0-1) </t>
    </r>
    <r>
      <rPr>
        <sz val="11"/>
        <color theme="1"/>
        <rFont val="Aptos Narrow"/>
        <family val="2"/>
        <scheme val="minor"/>
      </rPr>
      <t>=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</si>
  <si>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*λ+f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*λ =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</si>
  <si>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 xml:space="preserve">(1-2) </t>
    </r>
    <r>
      <rPr>
        <sz val="11"/>
        <color theme="1"/>
        <rFont val="Aptos Narrow"/>
        <family val="2"/>
        <scheme val="minor"/>
      </rPr>
      <t>=</t>
    </r>
  </si>
  <si>
    <t xml:space="preserve">2 maq activas </t>
  </si>
  <si>
    <t>1 maq activa</t>
  </si>
  <si>
    <t>No se me mantiene cte el λ ya q son las maq activas</t>
  </si>
  <si>
    <t>L =p(0)*0 + p(1) *1 + p(2)*2 =</t>
  </si>
  <si>
    <t>Numero promedio de maquinas rotas</t>
  </si>
  <si>
    <t>λ =</t>
  </si>
  <si>
    <t xml:space="preserve"> </t>
  </si>
  <si>
    <t>Se mantiene cte en  este caso ya que son clientes</t>
  </si>
  <si>
    <t>persona/hr</t>
  </si>
  <si>
    <t>Siempre tengo que poner lo que entra y lo que sale arriba</t>
  </si>
  <si>
    <t>L = p(0)*0 + p(1)*1 + p(2) * 2</t>
  </si>
  <si>
    <t xml:space="preserve">Numero promedio de personas en la peluqueria </t>
  </si>
  <si>
    <t xml:space="preserve">Los numeros salen del grafo. </t>
  </si>
  <si>
    <t>Dependiendo de donde me pare es disintinto</t>
  </si>
  <si>
    <t>2 pq es la cant de maq que arreglar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</si>
</sst>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customXml" Target="../ink/ink5.xml"/><Relationship Id="rId7" Type="http://schemas.openxmlformats.org/officeDocument/2006/relationships/customXml" Target="../ink/ink7.xml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customXml" Target="../ink/ink6.xml"/><Relationship Id="rId10" Type="http://schemas.openxmlformats.org/officeDocument/2006/relationships/image" Target="../media/image3.png"/><Relationship Id="rId4" Type="http://schemas.openxmlformats.org/officeDocument/2006/relationships/image" Target="../media/image10.png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8</xdr:col>
      <xdr:colOff>488632</xdr:colOff>
      <xdr:row>5</xdr:row>
      <xdr:rowOff>36327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FC0F2B-C9A8-FEFF-C5FD-FE9F2E960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7620"/>
          <a:ext cx="6820852" cy="943107"/>
        </a:xfrm>
        <a:prstGeom prst="rect">
          <a:avLst/>
        </a:prstGeom>
      </xdr:spPr>
    </xdr:pic>
    <xdr:clientData/>
  </xdr:twoCellAnchor>
  <xdr:twoCellAnchor>
    <xdr:from>
      <xdr:col>1</xdr:col>
      <xdr:colOff>106680</xdr:colOff>
      <xdr:row>8</xdr:row>
      <xdr:rowOff>53340</xdr:rowOff>
    </xdr:from>
    <xdr:to>
      <xdr:col>1</xdr:col>
      <xdr:colOff>784860</xdr:colOff>
      <xdr:row>11</xdr:row>
      <xdr:rowOff>175260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D625343-74E7-11BA-12C9-A5683526A4F4}"/>
            </a:ext>
          </a:extLst>
        </xdr:cNvPr>
        <xdr:cNvSpPr/>
      </xdr:nvSpPr>
      <xdr:spPr>
        <a:xfrm>
          <a:off x="899160" y="1516380"/>
          <a:ext cx="6781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800"/>
            <a:t>0</a:t>
          </a:r>
        </a:p>
      </xdr:txBody>
    </xdr:sp>
    <xdr:clientData/>
  </xdr:twoCellAnchor>
  <xdr:twoCellAnchor>
    <xdr:from>
      <xdr:col>2</xdr:col>
      <xdr:colOff>449580</xdr:colOff>
      <xdr:row>8</xdr:row>
      <xdr:rowOff>45720</xdr:rowOff>
    </xdr:from>
    <xdr:to>
      <xdr:col>3</xdr:col>
      <xdr:colOff>335280</xdr:colOff>
      <xdr:row>11</xdr:row>
      <xdr:rowOff>167640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EBD7ECAB-A60A-44BC-8BB3-3B9458E4B6A2}"/>
            </a:ext>
          </a:extLst>
        </xdr:cNvPr>
        <xdr:cNvSpPr/>
      </xdr:nvSpPr>
      <xdr:spPr>
        <a:xfrm>
          <a:off x="2034540" y="1508760"/>
          <a:ext cx="6781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800"/>
            <a:t>1</a:t>
          </a:r>
        </a:p>
      </xdr:txBody>
    </xdr:sp>
    <xdr:clientData/>
  </xdr:twoCellAnchor>
  <xdr:twoCellAnchor>
    <xdr:from>
      <xdr:col>4</xdr:col>
      <xdr:colOff>7620</xdr:colOff>
      <xdr:row>8</xdr:row>
      <xdr:rowOff>76200</xdr:rowOff>
    </xdr:from>
    <xdr:to>
      <xdr:col>4</xdr:col>
      <xdr:colOff>685800</xdr:colOff>
      <xdr:row>12</xdr:row>
      <xdr:rowOff>15240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F39230F-9D0E-4CBE-BD56-23D7685D3D7E}"/>
            </a:ext>
          </a:extLst>
        </xdr:cNvPr>
        <xdr:cNvSpPr/>
      </xdr:nvSpPr>
      <xdr:spPr>
        <a:xfrm>
          <a:off x="3177540" y="1539240"/>
          <a:ext cx="6781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800"/>
            <a:t>2</a:t>
          </a:r>
        </a:p>
      </xdr:txBody>
    </xdr:sp>
    <xdr:clientData/>
  </xdr:twoCellAnchor>
  <xdr:twoCellAnchor>
    <xdr:from>
      <xdr:col>1</xdr:col>
      <xdr:colOff>445770</xdr:colOff>
      <xdr:row>8</xdr:row>
      <xdr:rowOff>45720</xdr:rowOff>
    </xdr:from>
    <xdr:to>
      <xdr:col>2</xdr:col>
      <xdr:colOff>788670</xdr:colOff>
      <xdr:row>8</xdr:row>
      <xdr:rowOff>53340</xdr:rowOff>
    </xdr:to>
    <xdr:cxnSp macro="">
      <xdr:nvCxnSpPr>
        <xdr:cNvPr id="7" name="Conector: curvado 6">
          <a:extLst>
            <a:ext uri="{FF2B5EF4-FFF2-40B4-BE49-F238E27FC236}">
              <a16:creationId xmlns:a16="http://schemas.microsoft.com/office/drawing/2014/main" id="{331D4AB7-0C2E-FD45-B13E-BE43047595F2}"/>
            </a:ext>
          </a:extLst>
        </xdr:cNvPr>
        <xdr:cNvCxnSpPr>
          <a:stCxn id="3" idx="0"/>
          <a:endCxn id="4" idx="0"/>
        </xdr:cNvCxnSpPr>
      </xdr:nvCxnSpPr>
      <xdr:spPr>
        <a:xfrm rot="5400000" flipH="1" flipV="1">
          <a:off x="1802130" y="944880"/>
          <a:ext cx="7620" cy="1135380"/>
        </a:xfrm>
        <a:prstGeom prst="curvedConnector3">
          <a:avLst>
            <a:gd name="adj1" fmla="val 17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788670</xdr:colOff>
      <xdr:row>8</xdr:row>
      <xdr:rowOff>45720</xdr:rowOff>
    </xdr:from>
    <xdr:to>
      <xdr:col>4</xdr:col>
      <xdr:colOff>346710</xdr:colOff>
      <xdr:row>8</xdr:row>
      <xdr:rowOff>76200</xdr:rowOff>
    </xdr:to>
    <xdr:cxnSp macro="">
      <xdr:nvCxnSpPr>
        <xdr:cNvPr id="10" name="Conector: curvado 9">
          <a:extLst>
            <a:ext uri="{FF2B5EF4-FFF2-40B4-BE49-F238E27FC236}">
              <a16:creationId xmlns:a16="http://schemas.microsoft.com/office/drawing/2014/main" id="{9BC18466-E710-4F0B-83D0-EE98E22613E8}"/>
            </a:ext>
          </a:extLst>
        </xdr:cNvPr>
        <xdr:cNvCxnSpPr>
          <a:stCxn id="4" idx="0"/>
          <a:endCxn id="5" idx="0"/>
        </xdr:cNvCxnSpPr>
      </xdr:nvCxnSpPr>
      <xdr:spPr>
        <a:xfrm rot="16200000" flipH="1">
          <a:off x="2929890" y="952500"/>
          <a:ext cx="30480" cy="1143000"/>
        </a:xfrm>
        <a:prstGeom prst="curvedConnector3">
          <a:avLst>
            <a:gd name="adj1" fmla="val -375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445770</xdr:colOff>
      <xdr:row>11</xdr:row>
      <xdr:rowOff>167640</xdr:rowOff>
    </xdr:from>
    <xdr:to>
      <xdr:col>2</xdr:col>
      <xdr:colOff>788670</xdr:colOff>
      <xdr:row>11</xdr:row>
      <xdr:rowOff>175260</xdr:rowOff>
    </xdr:to>
    <xdr:cxnSp macro="">
      <xdr:nvCxnSpPr>
        <xdr:cNvPr id="14" name="Conector: curvado 13">
          <a:extLst>
            <a:ext uri="{FF2B5EF4-FFF2-40B4-BE49-F238E27FC236}">
              <a16:creationId xmlns:a16="http://schemas.microsoft.com/office/drawing/2014/main" id="{F262514B-D242-4BBC-A54D-B861711B96F4}"/>
            </a:ext>
          </a:extLst>
        </xdr:cNvPr>
        <xdr:cNvCxnSpPr>
          <a:stCxn id="4" idx="4"/>
          <a:endCxn id="3" idx="4"/>
        </xdr:cNvCxnSpPr>
      </xdr:nvCxnSpPr>
      <xdr:spPr>
        <a:xfrm rot="5400000">
          <a:off x="1802130" y="1615440"/>
          <a:ext cx="7620" cy="1135380"/>
        </a:xfrm>
        <a:prstGeom prst="curvedConnector3">
          <a:avLst>
            <a:gd name="adj1" fmla="val 20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788670</xdr:colOff>
      <xdr:row>11</xdr:row>
      <xdr:rowOff>167640</xdr:rowOff>
    </xdr:from>
    <xdr:to>
      <xdr:col>4</xdr:col>
      <xdr:colOff>346710</xdr:colOff>
      <xdr:row>12</xdr:row>
      <xdr:rowOff>15240</xdr:rowOff>
    </xdr:to>
    <xdr:cxnSp macro="">
      <xdr:nvCxnSpPr>
        <xdr:cNvPr id="17" name="Conector: curvado 16">
          <a:extLst>
            <a:ext uri="{FF2B5EF4-FFF2-40B4-BE49-F238E27FC236}">
              <a16:creationId xmlns:a16="http://schemas.microsoft.com/office/drawing/2014/main" id="{AF255AA1-DBF2-41FD-A2CE-53FCD2653608}"/>
            </a:ext>
          </a:extLst>
        </xdr:cNvPr>
        <xdr:cNvCxnSpPr>
          <a:stCxn id="5" idx="4"/>
          <a:endCxn id="4" idx="4"/>
        </xdr:cNvCxnSpPr>
      </xdr:nvCxnSpPr>
      <xdr:spPr>
        <a:xfrm rot="5400000" flipH="1">
          <a:off x="2929890" y="1623060"/>
          <a:ext cx="30480" cy="1143000"/>
        </a:xfrm>
        <a:prstGeom prst="curvedConnector3">
          <a:avLst>
            <a:gd name="adj1" fmla="val -375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15240</xdr:colOff>
      <xdr:row>8</xdr:row>
      <xdr:rowOff>0</xdr:rowOff>
    </xdr:from>
    <xdr:to>
      <xdr:col>8</xdr:col>
      <xdr:colOff>426720</xdr:colOff>
      <xdr:row>12</xdr:row>
      <xdr:rowOff>73775</xdr:rowOff>
    </xdr:to>
    <xdr:pic>
      <xdr:nvPicPr>
        <xdr:cNvPr id="22" name="Picture 3">
          <a:extLst>
            <a:ext uri="{FF2B5EF4-FFF2-40B4-BE49-F238E27FC236}">
              <a16:creationId xmlns:a16="http://schemas.microsoft.com/office/drawing/2014/main" id="{C2F73898-B314-415B-B674-8F8CF33B31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r="48628"/>
        <a:stretch>
          <a:fillRect/>
        </a:stretch>
      </xdr:blipFill>
      <xdr:spPr bwMode="auto">
        <a:xfrm>
          <a:off x="4770120" y="1463040"/>
          <a:ext cx="1996440" cy="8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784860</xdr:colOff>
      <xdr:row>13</xdr:row>
      <xdr:rowOff>7620</xdr:rowOff>
    </xdr:from>
    <xdr:to>
      <xdr:col>8</xdr:col>
      <xdr:colOff>266700</xdr:colOff>
      <xdr:row>15</xdr:row>
      <xdr:rowOff>53340</xdr:rowOff>
    </xdr:to>
    <xdr:pic>
      <xdr:nvPicPr>
        <xdr:cNvPr id="23" name="Picture 5">
          <a:extLst>
            <a:ext uri="{FF2B5EF4-FFF2-40B4-BE49-F238E27FC236}">
              <a16:creationId xmlns:a16="http://schemas.microsoft.com/office/drawing/2014/main" id="{A26174F3-1948-4027-8A50-19CBA69359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r="41361" b="73427"/>
        <a:stretch>
          <a:fillRect/>
        </a:stretch>
      </xdr:blipFill>
      <xdr:spPr bwMode="auto">
        <a:xfrm>
          <a:off x="5539740" y="2385060"/>
          <a:ext cx="10668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274320</xdr:colOff>
      <xdr:row>18</xdr:row>
      <xdr:rowOff>45720</xdr:rowOff>
    </xdr:to>
    <xdr:pic>
      <xdr:nvPicPr>
        <xdr:cNvPr id="25" name="Picture 5">
          <a:extLst>
            <a:ext uri="{FF2B5EF4-FFF2-40B4-BE49-F238E27FC236}">
              <a16:creationId xmlns:a16="http://schemas.microsoft.com/office/drawing/2014/main" id="{8C7F34B5-99F3-403E-BBE4-02AC7161B9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-419" t="26081" r="41780" b="47346"/>
        <a:stretch>
          <a:fillRect/>
        </a:stretch>
      </xdr:blipFill>
      <xdr:spPr bwMode="auto">
        <a:xfrm>
          <a:off x="5547360" y="2926080"/>
          <a:ext cx="10668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464760</xdr:colOff>
      <xdr:row>19</xdr:row>
      <xdr:rowOff>15120</xdr:rowOff>
    </xdr:from>
    <xdr:to>
      <xdr:col>6</xdr:col>
      <xdr:colOff>596160</xdr:colOff>
      <xdr:row>20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9D027DBE-0026-CC6D-A5DB-2409892F2DE5}"/>
                </a:ext>
              </a:extLst>
            </xdr14:cNvPr>
            <xdr14:cNvContentPartPr/>
          </xdr14:nvContentPartPr>
          <xdr14:nvPr macro=""/>
          <xdr14:xfrm>
            <a:off x="5219640" y="3489840"/>
            <a:ext cx="131400" cy="176760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9D027DBE-0026-CC6D-A5DB-2409892F2DE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213520" y="3483720"/>
              <a:ext cx="14364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586680</xdr:colOff>
      <xdr:row>12</xdr:row>
      <xdr:rowOff>53280</xdr:rowOff>
    </xdr:from>
    <xdr:to>
      <xdr:col>5</xdr:col>
      <xdr:colOff>746400</xdr:colOff>
      <xdr:row>21</xdr:row>
      <xdr:rowOff>102240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E403D9C0-2578-12BE-12FF-095331347F1A}"/>
                </a:ext>
              </a:extLst>
            </xdr14:cNvPr>
            <xdr14:cNvContentPartPr/>
          </xdr14:nvContentPartPr>
          <xdr14:nvPr macro=""/>
          <xdr14:xfrm>
            <a:off x="3756600" y="2247840"/>
            <a:ext cx="952200" cy="1694880"/>
          </xdr14:xfrm>
        </xdr:contentPart>
      </mc:Choice>
      <mc:Fallback xmlns=""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E403D9C0-2578-12BE-12FF-095331347F1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50480" y="2241720"/>
              <a:ext cx="964440" cy="170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129480</xdr:colOff>
      <xdr:row>18</xdr:row>
      <xdr:rowOff>168840</xdr:rowOff>
    </xdr:from>
    <xdr:to>
      <xdr:col>7</xdr:col>
      <xdr:colOff>222360</xdr:colOff>
      <xdr:row>20</xdr:row>
      <xdr:rowOff>31320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32024142-B986-DFE1-CB1B-2186D2EEAEA0}"/>
                </a:ext>
              </a:extLst>
            </xdr14:cNvPr>
            <xdr14:cNvContentPartPr/>
          </xdr14:nvContentPartPr>
          <xdr14:nvPr macro=""/>
          <xdr14:xfrm>
            <a:off x="5676840" y="3460680"/>
            <a:ext cx="92880" cy="228240"/>
          </xdr14:xfrm>
        </xdr:contentPart>
      </mc:Choice>
      <mc:Fallback xmlns=""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32024142-B986-DFE1-CB1B-2186D2EEAEA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670720" y="3454560"/>
              <a:ext cx="10512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650760</xdr:colOff>
      <xdr:row>19</xdr:row>
      <xdr:rowOff>13320</xdr:rowOff>
    </xdr:from>
    <xdr:to>
      <xdr:col>7</xdr:col>
      <xdr:colOff>786840</xdr:colOff>
      <xdr:row>20</xdr:row>
      <xdr:rowOff>17640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D3873F47-4990-C2B0-A338-3E1B9C899798}"/>
                </a:ext>
              </a:extLst>
            </xdr14:cNvPr>
            <xdr14:cNvContentPartPr/>
          </xdr14:nvContentPartPr>
          <xdr14:nvPr macro=""/>
          <xdr14:xfrm>
            <a:off x="6198120" y="3488040"/>
            <a:ext cx="136080" cy="187200"/>
          </xdr14:xfrm>
        </xdr:contentPart>
      </mc:Choice>
      <mc:Fallback xmlns=""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D3873F47-4990-C2B0-A338-3E1B9C89979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192000" y="3481920"/>
              <a:ext cx="148320" cy="199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528644</xdr:colOff>
      <xdr:row>8</xdr:row>
      <xdr:rowOff>165962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C5E8B3-A296-7604-40E8-6BEA0F0E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68484" cy="1629002"/>
        </a:xfrm>
        <a:prstGeom prst="rect">
          <a:avLst/>
        </a:prstGeom>
      </xdr:spPr>
    </xdr:pic>
    <xdr:clientData/>
  </xdr:twoCellAnchor>
  <xdr:twoCellAnchor>
    <xdr:from>
      <xdr:col>0</xdr:col>
      <xdr:colOff>708660</xdr:colOff>
      <xdr:row>11</xdr:row>
      <xdr:rowOff>144780</xdr:rowOff>
    </xdr:from>
    <xdr:to>
      <xdr:col>1</xdr:col>
      <xdr:colOff>68580</xdr:colOff>
      <xdr:row>14</xdr:row>
      <xdr:rowOff>83820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51B4C0BE-0E6B-C980-EBBC-559AFCA365FE}"/>
            </a:ext>
          </a:extLst>
        </xdr:cNvPr>
        <xdr:cNvSpPr/>
      </xdr:nvSpPr>
      <xdr:spPr>
        <a:xfrm>
          <a:off x="3086100" y="1973580"/>
          <a:ext cx="152400" cy="533400"/>
        </a:xfrm>
        <a:prstGeom prst="leftBrace">
          <a:avLst>
            <a:gd name="adj1" fmla="val 25574"/>
            <a:gd name="adj2" fmla="val 45588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708660</xdr:colOff>
      <xdr:row>16</xdr:row>
      <xdr:rowOff>144780</xdr:rowOff>
    </xdr:from>
    <xdr:to>
      <xdr:col>1</xdr:col>
      <xdr:colOff>68580</xdr:colOff>
      <xdr:row>19</xdr:row>
      <xdr:rowOff>83820</xdr:rowOff>
    </xdr:to>
    <xdr:sp macro="" textlink="">
      <xdr:nvSpPr>
        <xdr:cNvPr id="5" name="Abrir llave 4">
          <a:extLst>
            <a:ext uri="{FF2B5EF4-FFF2-40B4-BE49-F238E27FC236}">
              <a16:creationId xmlns:a16="http://schemas.microsoft.com/office/drawing/2014/main" id="{5D751D53-B231-45C7-B609-9F01429D51DD}"/>
            </a:ext>
          </a:extLst>
        </xdr:cNvPr>
        <xdr:cNvSpPr/>
      </xdr:nvSpPr>
      <xdr:spPr>
        <a:xfrm>
          <a:off x="3086100" y="1973580"/>
          <a:ext cx="152400" cy="487680"/>
        </a:xfrm>
        <a:prstGeom prst="leftBrace">
          <a:avLst>
            <a:gd name="adj1" fmla="val 25574"/>
            <a:gd name="adj2" fmla="val 45588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3</xdr:col>
      <xdr:colOff>480059</xdr:colOff>
      <xdr:row>12</xdr:row>
      <xdr:rowOff>129540</xdr:rowOff>
    </xdr:from>
    <xdr:to>
      <xdr:col>6</xdr:col>
      <xdr:colOff>426720</xdr:colOff>
      <xdr:row>18</xdr:row>
      <xdr:rowOff>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540A52A-3F78-46C9-B1E6-4393058A32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4319" r="29826"/>
        <a:stretch>
          <a:fillRect/>
        </a:stretch>
      </xdr:blipFill>
      <xdr:spPr bwMode="auto">
        <a:xfrm>
          <a:off x="2857499" y="2324100"/>
          <a:ext cx="2324101" cy="967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609600</xdr:colOff>
      <xdr:row>3</xdr:row>
      <xdr:rowOff>159840</xdr:rowOff>
    </xdr:from>
    <xdr:to>
      <xdr:col>4</xdr:col>
      <xdr:colOff>702240</xdr:colOff>
      <xdr:row>3</xdr:row>
      <xdr:rowOff>160560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2CF2F56E-674F-CC23-F6DC-CF09B32F2761}"/>
                </a:ext>
              </a:extLst>
            </xdr14:cNvPr>
            <xdr14:cNvContentPartPr/>
          </xdr14:nvContentPartPr>
          <xdr14:nvPr macro=""/>
          <xdr14:xfrm>
            <a:off x="2194560" y="708480"/>
            <a:ext cx="1677600" cy="72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2CF2F56E-674F-CC23-F6DC-CF09B32F276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88080" y="695520"/>
              <a:ext cx="1689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342240</xdr:colOff>
      <xdr:row>3</xdr:row>
      <xdr:rowOff>144360</xdr:rowOff>
    </xdr:from>
    <xdr:to>
      <xdr:col>8</xdr:col>
      <xdr:colOff>434280</xdr:colOff>
      <xdr:row>3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09BC54C1-7D2F-58B7-7D78-28AB55D7BD5E}"/>
                </a:ext>
              </a:extLst>
            </xdr14:cNvPr>
            <xdr14:cNvContentPartPr/>
          </xdr14:nvContentPartPr>
          <xdr14:nvPr macro=""/>
          <xdr14:xfrm>
            <a:off x="5889600" y="693000"/>
            <a:ext cx="884520" cy="1548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09BC54C1-7D2F-58B7-7D78-28AB55D7BD5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83480" y="686880"/>
              <a:ext cx="89676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45720</xdr:colOff>
      <xdr:row>5</xdr:row>
      <xdr:rowOff>7200</xdr:rowOff>
    </xdr:from>
    <xdr:to>
      <xdr:col>1</xdr:col>
      <xdr:colOff>190680</xdr:colOff>
      <xdr:row>5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76620448-BFB9-1871-A5BF-E6CC750E7111}"/>
                </a:ext>
              </a:extLst>
            </xdr14:cNvPr>
            <xdr14:cNvContentPartPr/>
          </xdr14:nvContentPartPr>
          <xdr14:nvPr macro=""/>
          <xdr14:xfrm>
            <a:off x="45720" y="921600"/>
            <a:ext cx="93744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76620448-BFB9-1871-A5BF-E6CC750E711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600" y="915480"/>
              <a:ext cx="9496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312420</xdr:colOff>
      <xdr:row>14</xdr:row>
      <xdr:rowOff>60960</xdr:rowOff>
    </xdr:from>
    <xdr:to>
      <xdr:col>11</xdr:col>
      <xdr:colOff>723900</xdr:colOff>
      <xdr:row>18</xdr:row>
      <xdr:rowOff>134735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F945A8AD-1F99-45B9-8D1A-C1FD528504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/>
        <a:srcRect r="48628"/>
        <a:stretch>
          <a:fillRect/>
        </a:stretch>
      </xdr:blipFill>
      <xdr:spPr bwMode="auto">
        <a:xfrm>
          <a:off x="7444740" y="2621280"/>
          <a:ext cx="1996440" cy="8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121921</xdr:colOff>
      <xdr:row>20</xdr:row>
      <xdr:rowOff>15240</xdr:rowOff>
    </xdr:from>
    <xdr:to>
      <xdr:col>11</xdr:col>
      <xdr:colOff>396241</xdr:colOff>
      <xdr:row>22</xdr:row>
      <xdr:rowOff>45720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8A4C3C9D-7D2E-4621-8136-4DC4912E05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/>
        <a:srcRect r="41361" b="73427"/>
        <a:stretch>
          <a:fillRect/>
        </a:stretch>
      </xdr:blipFill>
      <xdr:spPr bwMode="auto">
        <a:xfrm>
          <a:off x="8046721" y="3672840"/>
          <a:ext cx="10668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99060</xdr:colOff>
      <xdr:row>23</xdr:row>
      <xdr:rowOff>137160</xdr:rowOff>
    </xdr:from>
    <xdr:to>
      <xdr:col>11</xdr:col>
      <xdr:colOff>373380</xdr:colOff>
      <xdr:row>26</xdr:row>
      <xdr:rowOff>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20268E62-57EC-4984-BEF0-FD90016DD2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/>
        <a:srcRect l="-419" t="26081" r="41780" b="47346"/>
        <a:stretch>
          <a:fillRect/>
        </a:stretch>
      </xdr:blipFill>
      <xdr:spPr bwMode="auto">
        <a:xfrm>
          <a:off x="8023860" y="4343400"/>
          <a:ext cx="10668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2:10:06.2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85 0 24575,'-2'26'0,"0"0"0,-1 0 0,-2 0 0,0-1 0,-2 0 0,-19 46 0,19-53 0,1 0 0,1-1 0,0 2 0,1-1 0,1 0 0,-1 31 0,5-45 0,0 0 0,0 1 0,0-1 0,1 0 0,0 0 0,0 0 0,0-1 0,0 1 0,0 0 0,1-1 0,0 1 0,-1-1 0,1 0 0,1 0 0,-1 0 0,0 0 0,1-1 0,-1 1 0,1-1 0,5 2 0,0 2 0,0-2 0,1 1 0,0-1 0,0-1 0,0 0 0,0 0 0,14 1 0,10-1 0,1-3 0,43-3 0,-75 3 0,0-1 0,0 1 0,0-1 0,0 0 0,0 0 0,-1 0 0,1 0 0,0-1 0,-1 1 0,1-1 0,0 0 0,-1 1 0,0-1 0,1 0 0,-1-1 0,0 1 0,0 0 0,0 0 0,-1-1 0,1 1 0,0-1 0,-1 0 0,0 1 0,1-1 0,-1 0 0,0 0 0,-1 0 0,1 0 0,0-3 0,2-11 0,-2 1 0,0 0 0,0-1 0,-3-20 0,0 10 0,3-12 0,-1 21 0,0 1 0,-1 0 0,0 0 0,-5-18 0,5 30 0,0 0 0,-1 0 0,0 0 0,0 0 0,0 1 0,-1-1 0,0 1 0,0-1 0,0 1 0,0 0 0,0 0 0,-1 0 0,0 1 0,0-1 0,0 1 0,0 0 0,-8-5 0,-16-8 0,21 11 0,-1 1 0,1-1 0,-1 1 0,0 0 0,-1 1 0,1 0 0,0 0 0,-1 1 0,-16-2 0,5 3-1365,2 1-5461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2:10:12.2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24575,'0'3'0,"0"-1"0,1 0 0,-1 0 0,1 0 0,0 1 0,0-1 0,0 0 0,0 0 0,0 0 0,0 0 0,0-1 0,1 1 0,-1 0 0,3 2 0,29 25 0,-19-17 0,89 81 0,629 596 0,-709-664 0,-1 0 0,-1 2 0,-1 0 0,-1 2 0,25 51 0,-19-27 0,73 165 0,-51-106 0,45 127 0,-73-172 0,112 352 0,-74-213 0,0 1 0,-23-115 0,-5 2 0,26 140 0,-37-145 0,51 148 0,3 12 0,-58-193 0,3-2 0,2 0 0,3-1 0,2-1 0,2-1 0,2-1 0,3-1 0,46 56 0,-1-5 0,107 130 0,-175-221 0,6 8 0,1-1 0,1-1 0,19 15 0,-32-27 0,0 0 0,0-1 0,1 1 0,-1-1 0,1 0 0,0 0 0,-1-1 0,1 1 0,0-1 0,0 0 0,0 0 0,0 0 0,0 0 0,1-1 0,-1 1 0,0-1 0,0 0 0,0-1 0,0 1 0,0-1 0,0 1 0,0-1 0,5-2 0,-6 1 0,0 0 0,0 1 0,0-1 0,-1-1 0,1 1 0,0 0 0,-1-1 0,0 1 0,0-1 0,1 0 0,-2 1 0,1-1 0,0 0 0,0 0 0,-1-1 0,2-4 0,-3 8 0,0 0 0,0 0 0,0-1 0,0 1 0,0 0 0,0 0 0,0 0 0,0 0 0,0 0 0,0 0 0,0-1 0,0 1 0,0 0 0,0 0 0,0 0 0,0 0 0,0 0 0,0 0 0,0-1 0,0 1 0,0 0 0,0 0 0,-1 0 0,1 0 0,0 0 0,0 0 0,0 0 0,0 0 0,0 0 0,0 0 0,0 0 0,0-1 0,-1 1 0,1 0 0,0 0 0,0 0 0,0 0 0,0 0 0,0 0 0,0 0 0,-1 0 0,1 0 0,0 0 0,0 0 0,0 0 0,0 0 0,0 0 0,0 0 0,0 0 0,-1 0 0,1 0 0,0 0 0,0 1 0,0-1 0,0 0 0,-13 4 0,-11 9 0,-122 79 0,146-92 0,0 0 0,-1 0 0,1 0 0,0 0 0,0 0 0,-1 1 0,1-1 0,0 0 0,0 0 0,0 0 0,-1 0 0,1 0 0,0 1 0,0-1 0,0 0 0,0 0 0,0 0 0,-1 1 0,1-1 0,0 0 0,0 0 0,0 1 0,0-1 0,0 0 0,0 0 0,0 0 0,0 1 0,0-1 0,0 0 0,0 0 0,0 1 0,0-1 0,0 0 0,0 0 0,0 1 0,0-1 0,10 6 0,24 1 0,-24-5 0,13 5 0,-1 1 0,-1 1 0,0 0 0,35 23 0,-32-19 0,-24-12 0,1-1 0,-1 0 0,0 1 0,1-1 0,-1 0 0,1 0 0,-1 0 0,1 1 0,-1-1 0,1 0 0,-1 0 0,0 0 0,1 0 0,-1 0 0,1 0 0,-1 0 0,1 0 0,-1 0 0,1 0 0,-1 0 0,1 0 0,-1 0 0,1 0 0,-1 0 0,1-1 0,-1 1 0,1 0 0,-1 0 0,1 0 0,-1-1 0,0 1 0,1 0 0,-1-1 0,1 1 0,4-20 0,-9-24 0,0 21-120,0 0-191,-1 0 0,-1 0-1,-14-37 1,14 49-6515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2:10:19.7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60 24575,'-1'425'0,"1"-419"0,0 0 0,1 0 0,-1 0 0,1 0 0,0 0 0,1 0 0,-1 0 0,1 0 0,0 0 0,1-1 0,-1 1 0,1-1 0,0 1 0,1-1 0,-1 0 0,1 0 0,0-1 0,0 1 0,1-1 0,-1 0 0,1 0 0,0 0 0,0-1 0,0 1 0,0-1 0,1-1 0,-1 1 0,1-1 0,0 0 0,0 0 0,0 0 0,0-1 0,0 0 0,0 0 0,0-1 0,10 0 0,-12 0 0,1 0 0,0-1 0,-1 0 0,1 0 0,-1 0 0,1 0 0,-1-1 0,0 1 0,0-1 0,1 0 0,-1 0 0,-1-1 0,1 1 0,0-1 0,0 0 0,-1 0 0,0 0 0,5-6 0,-4 3 0,-1 0 0,1 0 0,-2 0 0,1 0 0,-1 0 0,0-1 0,0 1 0,0-1 0,-1 1 0,0-1 0,-1 0 0,1-8 0,-5-301 0,4 305 0,-2-1 0,1 1 0,-2 0 0,1 0 0,-2 0 0,1 0 0,-9-16 0,1 1 0,10 22 0,-1 1 0,0-1 0,0 1 0,-1 0 0,1 0 0,-1 0 0,1 0 0,-1 0 0,0 0 0,0 1 0,0-1 0,0 1 0,-1 0 0,1 0 0,-1 0 0,1 1 0,-1-1 0,0 1 0,1 0 0,-1 0 0,0 0 0,-7-1 0,7 2 0,1-1 0,-1 1 0,1 0 0,-1 0 0,1 1 0,-1-1 0,1 1 0,-1 0 0,1-1 0,0 1 0,-1 1 0,1-1 0,0 0 0,0 1 0,0 0 0,0 0 0,0 0 0,0 0 0,0 0 0,1 1 0,-1-1 0,1 1 0,-1-1 0,1 1 0,-3 4 0,-2 11-1365,1-1-5461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2:10:22.5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 69 24575,'-1'319'0,"1"-312"0,1 1 0,-1-1 0,1 1 0,1-1 0,-1 0 0,1 0 0,0 1 0,1-1 0,4 9 0,-5-13 0,0 0 0,0 0 0,0 0 0,0 0 0,1 0 0,-1-1 0,1 1 0,0-1 0,-1 0 0,1 1 0,0-1 0,0 0 0,1-1 0,-1 1 0,0-1 0,1 1 0,-1-1 0,0 0 0,1 0 0,0-1 0,3 1 0,20 2 0,0-1 0,0-2 0,1 0 0,51-9 0,-75 8 0,0 0 0,-1-1 0,1 1 0,-1-1 0,1 1 0,-1-1 0,0 0 0,0-1 0,0 1 0,0 0 0,0-1 0,0 1 0,-1-1 0,1 0 0,-1 0 0,0 0 0,0 0 0,0-1 0,0 1 0,-1-1 0,1 1 0,-1-1 0,0 1 0,0-1 0,1-6 0,1-8 0,-2 0 0,0 0 0,-1 0 0,-3-23 0,1-2 0,2 17 0,-1 1 0,-2 0 0,-6-35 0,8 55 0,-3-10 0,0 0 0,0 1 0,-12-25 0,14 35 0,1 1 0,-1-1 0,0 1 0,-1 0 0,1 0 0,-1 0 0,1 0 0,-1 1 0,0-1 0,0 1 0,0-1 0,0 1 0,0 0 0,-1 0 0,1 1 0,-1-1 0,1 1 0,-1-1 0,0 1 0,-4-1 0,-24-1 0,1 2 0,0 1 0,-44 5 0,67-4-124,1 1 0,0 0 0,-1 0 0,1 1 0,0 0 0,0 0-1,0 1 1,1 0 0,-1 0 0,-8 8 0,5-3-6702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0:32:27.1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24422,'4659'0'0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0:32:38.6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24167,'2456'42'0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6T10:32:56.5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24207,'2603'0'0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C280-B6AF-442B-808D-0051B6D12B0B}">
  <dimension ref="B7:L23"/>
  <sheetViews>
    <sheetView topLeftCell="A7" workbookViewId="0">
      <selection activeCell="G21" sqref="G21"/>
    </sheetView>
  </sheetViews>
  <sheetFormatPr baseColWidth="10" defaultRowHeight="14.4" x14ac:dyDescent="0.3"/>
  <sheetData>
    <row r="7" spans="3:10" x14ac:dyDescent="0.3">
      <c r="C7" t="s">
        <v>0</v>
      </c>
      <c r="D7" s="4" t="s">
        <v>0</v>
      </c>
    </row>
    <row r="10" spans="3:10" x14ac:dyDescent="0.3">
      <c r="J10">
        <f>1/(1+(C17/C18)+(C17/C18)^2)</f>
        <v>0.91719745222929949</v>
      </c>
    </row>
    <row r="12" spans="3:10" x14ac:dyDescent="0.3">
      <c r="G12" t="s">
        <v>25</v>
      </c>
    </row>
    <row r="14" spans="3:10" x14ac:dyDescent="0.3">
      <c r="C14" t="s">
        <v>4</v>
      </c>
      <c r="D14" s="4" t="s">
        <v>4</v>
      </c>
      <c r="I14" s="3" t="s">
        <v>13</v>
      </c>
      <c r="J14">
        <f>+J10*C17/C18</f>
        <v>7.6433121019108291E-2</v>
      </c>
    </row>
    <row r="17" spans="2:12" x14ac:dyDescent="0.3">
      <c r="B17" s="11" t="s">
        <v>24</v>
      </c>
      <c r="C17">
        <f>1/3</f>
        <v>0.33333333333333331</v>
      </c>
      <c r="D17" t="s">
        <v>27</v>
      </c>
      <c r="I17" s="3" t="s">
        <v>13</v>
      </c>
      <c r="J17">
        <f>+J14*C17/C18</f>
        <v>6.369426751592357E-3</v>
      </c>
    </row>
    <row r="18" spans="2:12" x14ac:dyDescent="0.3">
      <c r="B18" t="s">
        <v>9</v>
      </c>
      <c r="C18">
        <f>60/15</f>
        <v>4</v>
      </c>
      <c r="D18" t="s">
        <v>27</v>
      </c>
    </row>
    <row r="20" spans="2:12" x14ac:dyDescent="0.3">
      <c r="B20" t="s">
        <v>26</v>
      </c>
      <c r="G20" t="s">
        <v>29</v>
      </c>
      <c r="I20" s="3" t="s">
        <v>13</v>
      </c>
      <c r="J20">
        <f>+J14*1+J17*2</f>
        <v>8.9171974522293002E-2</v>
      </c>
      <c r="L20" t="s">
        <v>30</v>
      </c>
    </row>
    <row r="21" spans="2:12" x14ac:dyDescent="0.3">
      <c r="B21" t="s">
        <v>28</v>
      </c>
    </row>
    <row r="22" spans="2:12" x14ac:dyDescent="0.3">
      <c r="G22" t="s">
        <v>31</v>
      </c>
    </row>
    <row r="23" spans="2:12" x14ac:dyDescent="0.3">
      <c r="G23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7E60-3E63-4C75-B88B-21792A91944E}">
  <dimension ref="A2:O31"/>
  <sheetViews>
    <sheetView tabSelected="1" workbookViewId="0">
      <selection activeCell="M17" sqref="M17"/>
    </sheetView>
  </sheetViews>
  <sheetFormatPr baseColWidth="10" defaultRowHeight="14.4" x14ac:dyDescent="0.3"/>
  <sheetData>
    <row r="2" spans="1:15" x14ac:dyDescent="0.3">
      <c r="J2" t="s">
        <v>8</v>
      </c>
    </row>
    <row r="11" spans="1:15" x14ac:dyDescent="0.3">
      <c r="E11" t="s">
        <v>21</v>
      </c>
    </row>
    <row r="12" spans="1:15" x14ac:dyDescent="0.3">
      <c r="E12">
        <v>2</v>
      </c>
      <c r="F12">
        <v>1</v>
      </c>
    </row>
    <row r="13" spans="1:15" x14ac:dyDescent="0.3">
      <c r="A13" s="12" t="s">
        <v>1</v>
      </c>
      <c r="B13" s="2" t="s">
        <v>0</v>
      </c>
      <c r="C13" s="1" t="s">
        <v>3</v>
      </c>
    </row>
    <row r="14" spans="1:15" x14ac:dyDescent="0.3">
      <c r="A14" s="12"/>
      <c r="B14" s="1">
        <v>0</v>
      </c>
      <c r="C14" s="1" t="s">
        <v>2</v>
      </c>
      <c r="H14" t="s">
        <v>33</v>
      </c>
    </row>
    <row r="16" spans="1:15" x14ac:dyDescent="0.3">
      <c r="M16">
        <f>1/(1+(D22/D24)+(D23/D24)^2)</f>
        <v>0.1111111111111111</v>
      </c>
      <c r="O16" t="s">
        <v>11</v>
      </c>
    </row>
    <row r="18" spans="1:15" x14ac:dyDescent="0.3">
      <c r="A18" s="12" t="s">
        <v>5</v>
      </c>
      <c r="B18" s="2">
        <v>0</v>
      </c>
      <c r="C18" s="1" t="s">
        <v>6</v>
      </c>
    </row>
    <row r="19" spans="1:15" x14ac:dyDescent="0.3">
      <c r="A19" s="12"/>
      <c r="B19" s="1" t="s">
        <v>4</v>
      </c>
      <c r="C19" s="1" t="s">
        <v>7</v>
      </c>
    </row>
    <row r="20" spans="1:15" x14ac:dyDescent="0.3">
      <c r="E20">
        <v>0.5</v>
      </c>
      <c r="F20">
        <v>0.5</v>
      </c>
    </row>
    <row r="21" spans="1:15" x14ac:dyDescent="0.3">
      <c r="M21">
        <f>+M16*(D22/D24)</f>
        <v>0.44444444444444442</v>
      </c>
      <c r="O21" t="s">
        <v>12</v>
      </c>
    </row>
    <row r="22" spans="1:15" ht="15.6" x14ac:dyDescent="0.35">
      <c r="B22" s="4" t="s">
        <v>16</v>
      </c>
      <c r="C22" t="s">
        <v>17</v>
      </c>
      <c r="D22" s="4">
        <f>+(1*(1+1))</f>
        <v>2</v>
      </c>
      <c r="E22" t="s">
        <v>10</v>
      </c>
      <c r="F22" s="4" t="s">
        <v>19</v>
      </c>
    </row>
    <row r="23" spans="1:15" ht="15.6" x14ac:dyDescent="0.35">
      <c r="B23" s="4" t="s">
        <v>18</v>
      </c>
      <c r="C23" t="s">
        <v>17</v>
      </c>
      <c r="D23" s="4">
        <f>+(1*(0+1))</f>
        <v>1</v>
      </c>
      <c r="E23" t="s">
        <v>10</v>
      </c>
      <c r="F23" s="4" t="s">
        <v>20</v>
      </c>
    </row>
    <row r="24" spans="1:15" x14ac:dyDescent="0.3">
      <c r="B24" s="4" t="s">
        <v>4</v>
      </c>
      <c r="D24" s="4">
        <f>1/2</f>
        <v>0.5</v>
      </c>
      <c r="E24" t="s">
        <v>10</v>
      </c>
    </row>
    <row r="25" spans="1:15" x14ac:dyDescent="0.3">
      <c r="M25">
        <f>+M21*(D23/D24)</f>
        <v>0.88888888888888884</v>
      </c>
    </row>
    <row r="28" spans="1:15" ht="15" thickBot="1" x14ac:dyDescent="0.35">
      <c r="A28" s="5" t="s">
        <v>14</v>
      </c>
      <c r="B28" s="7">
        <v>0</v>
      </c>
      <c r="C28" s="7">
        <v>1</v>
      </c>
      <c r="D28" s="7">
        <v>2</v>
      </c>
      <c r="K28" t="s">
        <v>22</v>
      </c>
      <c r="M28">
        <f>M21*1+M25*2</f>
        <v>2.2222222222222223</v>
      </c>
      <c r="O28" t="s">
        <v>23</v>
      </c>
    </row>
    <row r="29" spans="1:15" x14ac:dyDescent="0.3">
      <c r="A29" s="6">
        <v>0</v>
      </c>
      <c r="B29" s="8">
        <f>-C29</f>
        <v>-2</v>
      </c>
      <c r="C29" s="9">
        <v>2</v>
      </c>
      <c r="D29" s="9">
        <v>0</v>
      </c>
    </row>
    <row r="30" spans="1:15" x14ac:dyDescent="0.3">
      <c r="A30" s="6">
        <v>1</v>
      </c>
      <c r="B30" s="10">
        <v>0.5</v>
      </c>
      <c r="C30" s="5">
        <f>-(B30+D30)</f>
        <v>-1.5</v>
      </c>
      <c r="D30" s="5">
        <v>1</v>
      </c>
      <c r="F30" t="s">
        <v>15</v>
      </c>
    </row>
    <row r="31" spans="1:15" x14ac:dyDescent="0.3">
      <c r="A31" s="6">
        <v>2</v>
      </c>
      <c r="B31" s="10">
        <v>0</v>
      </c>
      <c r="C31" s="5">
        <v>0.5</v>
      </c>
      <c r="D31" s="5">
        <f>-(C31+E31)</f>
        <v>-0.5</v>
      </c>
    </row>
  </sheetData>
  <mergeCells count="2">
    <mergeCell ref="A13:A14"/>
    <mergeCell ref="A18:A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11F8-BBD9-4768-A35E-2A28C6E6041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 1</vt:lpstr>
      <vt:lpstr>Ej 2</vt:lpstr>
      <vt:lpstr>Ej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Villalonga</dc:creator>
  <cp:lastModifiedBy>Uriel Villalonga</cp:lastModifiedBy>
  <dcterms:created xsi:type="dcterms:W3CDTF">2025-06-14T14:17:47Z</dcterms:created>
  <dcterms:modified xsi:type="dcterms:W3CDTF">2025-06-26T20:18:00Z</dcterms:modified>
</cp:coreProperties>
</file>