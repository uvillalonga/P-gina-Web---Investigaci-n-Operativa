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161ea31542415b/UTN/4to Año/IO/Unidad 1/Practica/"/>
    </mc:Choice>
  </mc:AlternateContent>
  <xr:revisionPtr revIDLastSave="150" documentId="13_ncr:1_{AEAFE937-875C-4DC2-B0D0-A712D2E3F82C}" xr6:coauthVersionLast="47" xr6:coauthVersionMax="47" xr10:uidLastSave="{8FF8A14C-44FB-4855-9174-3DD96AB1CA80}"/>
  <bookViews>
    <workbookView xWindow="-108" yWindow="-108" windowWidth="23256" windowHeight="12456" xr2:uid="{99F76963-1926-4121-B475-C4048C9CFB45}"/>
  </bookViews>
  <sheets>
    <sheet name="Ejempl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E23" i="1" a="1"/>
  <c r="E23" i="1" s="1"/>
  <c r="F11" i="1"/>
  <c r="G12" i="1"/>
  <c r="B14" i="1"/>
  <c r="B16" i="1" s="1"/>
  <c r="B18" i="1" s="1"/>
  <c r="B24" i="1" l="1"/>
  <c r="B2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<sst xmlns="http://schemas.openxmlformats.org/spreadsheetml/2006/main" count="26" uniqueCount="26">
  <si>
    <r>
      <t xml:space="preserve">A un depósito comercial con atención permanente arriba un proveedor en promedio cada 6 horas, según una distribución exponencial. En cada reparto, el proveedor entrega una sola unidad del producto en cuestión (o, dicho de otra forma, llegan al depósito 4 unidades por día, conforme a una distribución Poisson). </t>
    </r>
    <r>
      <rPr>
        <b/>
        <sz val="11"/>
        <color theme="1"/>
        <rFont val="Calibri"/>
        <family val="2"/>
        <scheme val="minor"/>
      </rPr>
      <t>El depósito tiene una capacidad máxima de almacenamiento de 3 unidades</t>
    </r>
    <r>
      <rPr>
        <sz val="11"/>
        <color theme="1"/>
        <rFont val="Calibri"/>
        <family val="2"/>
        <scheme val="minor"/>
      </rPr>
      <t>. Si el depósito está completo en el momento del arribo de una unidad, dicha unidad no se adquiere.
Se demanda una unidad de este producto cada 4 horas, también conforme a una distribución exponencial (o, dicho de otra forma, la demanda del producto es de 6 unidades por día, conforme a una distribución Poisson). Si el producto no se encuentra en existencia en el momento de ser requerido por los compradores, la venta se pierde.</t>
    </r>
  </si>
  <si>
    <t>λ</t>
  </si>
  <si>
    <t>µ</t>
  </si>
  <si>
    <t>unidades</t>
  </si>
  <si>
    <t>Q</t>
  </si>
  <si>
    <r>
      <t>A</t>
    </r>
    <r>
      <rPr>
        <b/>
        <vertAlign val="superscript"/>
        <sz val="11"/>
        <color theme="1"/>
        <rFont val="Calibri"/>
        <family val="2"/>
        <scheme val="minor"/>
      </rPr>
      <t>-1</t>
    </r>
  </si>
  <si>
    <t>A</t>
  </si>
  <si>
    <t>Estoy perdiendo clientes debido a la capacidad de mi depósito?</t>
  </si>
  <si>
    <t>De acuerdo a lo analizado, se espera recibir 4 proveedores en forma diaria, mientras que en el depósito solo puedo recibir 3. De esta forma, no estaría aprovechando la oportunidad que me brinda el mercado de acuerdo a su estacionalidad.</t>
  </si>
  <si>
    <t>Dejo de ganar x plata por no tener la capacidad adecuada</t>
  </si>
  <si>
    <t>1 persona no da abasto para atender la recepción de las unidades que llegan.</t>
  </si>
  <si>
    <t>De acuerdo a lo expresado anteriormente, se recomienda ampliar la capacidad del depósito a 4 unidades como mínimo,</t>
  </si>
  <si>
    <t>tasa de entrada</t>
  </si>
  <si>
    <t>tasa de salida</t>
  </si>
  <si>
    <t>GRAFO</t>
  </si>
  <si>
    <t xml:space="preserve">El 3 proviene de la capacidad maxima que tiene el sistema </t>
  </si>
  <si>
    <t>Matriz de transicion</t>
  </si>
  <si>
    <t>Tenes que ver los λ y μ para hacer</t>
  </si>
  <si>
    <t>Ves la Ent y Sal de c/nodo</t>
  </si>
  <si>
    <t xml:space="preserve">Es igual que la matriz de transicion de arriba solo que la ultima columna se les pone 1 </t>
  </si>
  <si>
    <t>El numero promedio de unidades almacenadas en el almacen</t>
  </si>
  <si>
    <t>Siempre me tienen que sumar igual a 1 pq son probabilidades</t>
  </si>
  <si>
    <t>Probabilidad de que este vacio el sistema y pierda una venta</t>
  </si>
  <si>
    <t>Prob de q el almacen este lleno y pierda una entrega</t>
  </si>
  <si>
    <r>
      <t xml:space="preserve">Es la probabilidad de estar en un estado </t>
    </r>
    <r>
      <rPr>
        <b/>
        <sz val="11"/>
        <color theme="1"/>
        <rFont val="Calibri"/>
        <family val="2"/>
        <scheme val="minor"/>
      </rPr>
      <t xml:space="preserve">n </t>
    </r>
  </si>
  <si>
    <t>Matriz Inversa de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</si>
</sst>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4" fillId="0" borderId="0" xfId="0" applyFont="1"/>
    <xf numFmtId="0" fontId="5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9.png"/><Relationship Id="rId18" Type="http://schemas.openxmlformats.org/officeDocument/2006/relationships/customXml" Target="../ink/ink7.xml"/><Relationship Id="rId26" Type="http://schemas.openxmlformats.org/officeDocument/2006/relationships/customXml" Target="../ink/ink11.xml"/><Relationship Id="rId21" Type="http://schemas.openxmlformats.org/officeDocument/2006/relationships/image" Target="../media/image13.png"/><Relationship Id="rId34" Type="http://schemas.openxmlformats.org/officeDocument/2006/relationships/customXml" Target="../ink/ink15.xml"/><Relationship Id="rId7" Type="http://schemas.openxmlformats.org/officeDocument/2006/relationships/image" Target="../media/image6.png"/><Relationship Id="rId12" Type="http://schemas.openxmlformats.org/officeDocument/2006/relationships/customXml" Target="../ink/ink4.xml"/><Relationship Id="rId17" Type="http://schemas.openxmlformats.org/officeDocument/2006/relationships/image" Target="../media/image11.png"/><Relationship Id="rId25" Type="http://schemas.openxmlformats.org/officeDocument/2006/relationships/image" Target="../media/image15.png"/><Relationship Id="rId33" Type="http://schemas.openxmlformats.org/officeDocument/2006/relationships/image" Target="../media/image19.png"/><Relationship Id="rId2" Type="http://schemas.openxmlformats.org/officeDocument/2006/relationships/image" Target="../media/image2.png"/><Relationship Id="rId16" Type="http://schemas.openxmlformats.org/officeDocument/2006/relationships/customXml" Target="../ink/ink6.xml"/><Relationship Id="rId20" Type="http://schemas.openxmlformats.org/officeDocument/2006/relationships/customXml" Target="../ink/ink8.xml"/><Relationship Id="rId29" Type="http://schemas.openxmlformats.org/officeDocument/2006/relationships/image" Target="../media/image17.png"/><Relationship Id="rId1" Type="http://schemas.openxmlformats.org/officeDocument/2006/relationships/image" Target="../media/image1.png"/><Relationship Id="rId6" Type="http://schemas.openxmlformats.org/officeDocument/2006/relationships/customXml" Target="../ink/ink1.xml"/><Relationship Id="rId11" Type="http://schemas.openxmlformats.org/officeDocument/2006/relationships/image" Target="../media/image8.png"/><Relationship Id="rId24" Type="http://schemas.openxmlformats.org/officeDocument/2006/relationships/customXml" Target="../ink/ink10.xml"/><Relationship Id="rId32" Type="http://schemas.openxmlformats.org/officeDocument/2006/relationships/customXml" Target="../ink/ink14.xml"/><Relationship Id="rId37" Type="http://schemas.openxmlformats.org/officeDocument/2006/relationships/image" Target="../media/image21.png"/><Relationship Id="rId5" Type="http://schemas.openxmlformats.org/officeDocument/2006/relationships/image" Target="../media/image5.png"/><Relationship Id="rId15" Type="http://schemas.openxmlformats.org/officeDocument/2006/relationships/image" Target="../media/image10.png"/><Relationship Id="rId23" Type="http://schemas.openxmlformats.org/officeDocument/2006/relationships/image" Target="../media/image14.png"/><Relationship Id="rId28" Type="http://schemas.openxmlformats.org/officeDocument/2006/relationships/customXml" Target="../ink/ink12.xml"/><Relationship Id="rId36" Type="http://schemas.openxmlformats.org/officeDocument/2006/relationships/customXml" Target="../ink/ink16.xml"/><Relationship Id="rId10" Type="http://schemas.openxmlformats.org/officeDocument/2006/relationships/customXml" Target="../ink/ink3.xml"/><Relationship Id="rId19" Type="http://schemas.openxmlformats.org/officeDocument/2006/relationships/image" Target="../media/image12.png"/><Relationship Id="rId31" Type="http://schemas.openxmlformats.org/officeDocument/2006/relationships/image" Target="../media/image18.png"/><Relationship Id="rId4" Type="http://schemas.openxmlformats.org/officeDocument/2006/relationships/image" Target="../media/image4.png"/><Relationship Id="rId9" Type="http://schemas.openxmlformats.org/officeDocument/2006/relationships/image" Target="../media/image7.png"/><Relationship Id="rId14" Type="http://schemas.openxmlformats.org/officeDocument/2006/relationships/customXml" Target="../ink/ink5.xml"/><Relationship Id="rId22" Type="http://schemas.openxmlformats.org/officeDocument/2006/relationships/customXml" Target="../ink/ink9.xml"/><Relationship Id="rId27" Type="http://schemas.openxmlformats.org/officeDocument/2006/relationships/image" Target="../media/image16.png"/><Relationship Id="rId30" Type="http://schemas.openxmlformats.org/officeDocument/2006/relationships/customXml" Target="../ink/ink13.xml"/><Relationship Id="rId35" Type="http://schemas.openxmlformats.org/officeDocument/2006/relationships/image" Target="../media/image20.png"/><Relationship Id="rId8" Type="http://schemas.openxmlformats.org/officeDocument/2006/relationships/customXml" Target="../ink/ink2.xml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2954482</xdr:colOff>
      <xdr:row>1</xdr:row>
      <xdr:rowOff>13856</xdr:rowOff>
    </xdr:from>
    <xdr:to>
      <xdr:col>0</xdr:col>
      <xdr:colOff>5859607</xdr:colOff>
      <xdr:row>5</xdr:row>
      <xdr:rowOff>90055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5B41F2FC-432D-B356-A109-EEF999693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54482" y="1295401"/>
          <a:ext cx="2905125" cy="7966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657225</xdr:colOff>
      <xdr:row>1</xdr:row>
      <xdr:rowOff>133350</xdr:rowOff>
    </xdr:from>
    <xdr:to>
      <xdr:col>0</xdr:col>
      <xdr:colOff>2486025</xdr:colOff>
      <xdr:row>7</xdr:row>
      <xdr:rowOff>19050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ED8E93A1-C7D1-9269-CFE9-5DE78EFDC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57225" y="1657350"/>
          <a:ext cx="1828800" cy="1028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2542309</xdr:colOff>
      <xdr:row>13</xdr:row>
      <xdr:rowOff>117763</xdr:rowOff>
    </xdr:from>
    <xdr:to>
      <xdr:col>0</xdr:col>
      <xdr:colOff>5282623</xdr:colOff>
      <xdr:row>18</xdr:row>
      <xdr:rowOff>24491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5646028-EB5B-4F94-A01D-F9FC4D933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42309" y="3602181"/>
          <a:ext cx="2740314" cy="876546"/>
        </a:xfrm>
        <a:prstGeom prst="rect">
          <a:avLst/>
        </a:prstGeom>
      </xdr:spPr>
    </xdr:pic>
    <xdr:clientData/>
  </xdr:twoCellAnchor>
  <xdr:twoCellAnchor editAs="oneCell">
    <xdr:from>
      <xdr:col>0</xdr:col>
      <xdr:colOff>3724275</xdr:colOff>
      <xdr:row>7</xdr:row>
      <xdr:rowOff>47625</xdr:rowOff>
    </xdr:from>
    <xdr:to>
      <xdr:col>0</xdr:col>
      <xdr:colOff>7077075</xdr:colOff>
      <xdr:row>11</xdr:row>
      <xdr:rowOff>104775</xdr:rowOff>
    </xdr:to>
    <xdr:pic>
      <xdr:nvPicPr>
        <xdr:cNvPr id="5" name="Picture 3">
          <a:extLst>
            <a:ext uri="{FF2B5EF4-FFF2-40B4-BE49-F238E27FC236}">
              <a16:creationId xmlns:a16="http://schemas.microsoft.com/office/drawing/2014/main" id="{1857365F-634D-B44A-D13A-DC67E93F85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/>
        <a:srcRect r="13726"/>
        <a:stretch/>
      </xdr:blipFill>
      <xdr:spPr bwMode="auto">
        <a:xfrm>
          <a:off x="3724275" y="2409825"/>
          <a:ext cx="3352800" cy="8052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5276850</xdr:colOff>
      <xdr:row>12</xdr:row>
      <xdr:rowOff>123825</xdr:rowOff>
    </xdr:from>
    <xdr:to>
      <xdr:col>0</xdr:col>
      <xdr:colOff>7096125</xdr:colOff>
      <xdr:row>20</xdr:row>
      <xdr:rowOff>148317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9B967DE-04DB-8DAD-3467-C88BBA542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276850" y="3743325"/>
          <a:ext cx="1819275" cy="1600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4648200</xdr:colOff>
      <xdr:row>22</xdr:row>
      <xdr:rowOff>171450</xdr:rowOff>
    </xdr:from>
    <xdr:to>
      <xdr:col>0</xdr:col>
      <xdr:colOff>7299888</xdr:colOff>
      <xdr:row>24</xdr:row>
      <xdr:rowOff>67449</xdr:rowOff>
    </xdr:to>
    <xdr:sp macro="" textlink="">
      <xdr:nvSpPr>
        <xdr:cNvPr id="7" name="14 Rectángulo">
          <a:extLst>
            <a:ext uri="{FF2B5EF4-FFF2-40B4-BE49-F238E27FC236}">
              <a16:creationId xmlns:a16="http://schemas.microsoft.com/office/drawing/2014/main" id="{B2C0EDC3-6EC6-8238-EF22-8095A89F9415}"/>
            </a:ext>
          </a:extLst>
        </xdr:cNvPr>
        <xdr:cNvSpPr/>
      </xdr:nvSpPr>
      <xdr:spPr>
        <a:xfrm>
          <a:off x="4648200" y="5695950"/>
          <a:ext cx="2651688" cy="276999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AR" sz="1200"/>
            <a:t>L = E(n) = 0*p(0)+1*p(1)+2*p(2)+3*p(3)</a:t>
          </a:r>
        </a:p>
      </xdr:txBody>
    </xdr:sp>
    <xdr:clientData/>
  </xdr:twoCellAnchor>
  <xdr:twoCellAnchor>
    <xdr:from>
      <xdr:col>0</xdr:col>
      <xdr:colOff>6181725</xdr:colOff>
      <xdr:row>3</xdr:row>
      <xdr:rowOff>152400</xdr:rowOff>
    </xdr:from>
    <xdr:to>
      <xdr:col>1</xdr:col>
      <xdr:colOff>621368</xdr:colOff>
      <xdr:row>6</xdr:row>
      <xdr:rowOff>42565</xdr:rowOff>
    </xdr:to>
    <xdr:sp macro="" textlink="">
      <xdr:nvSpPr>
        <xdr:cNvPr id="8" name="8 Rectángulo">
          <a:extLst>
            <a:ext uri="{FF2B5EF4-FFF2-40B4-BE49-F238E27FC236}">
              <a16:creationId xmlns:a16="http://schemas.microsoft.com/office/drawing/2014/main" id="{672A3642-2635-F63C-1A07-261B71D99771}"/>
            </a:ext>
          </a:extLst>
        </xdr:cNvPr>
        <xdr:cNvSpPr/>
      </xdr:nvSpPr>
      <xdr:spPr>
        <a:xfrm>
          <a:off x="6181725" y="2057400"/>
          <a:ext cx="1840568" cy="461665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AR" sz="1200"/>
            <a:t>siendo λ = 4 unidades/día</a:t>
          </a:r>
        </a:p>
        <a:p>
          <a:r>
            <a:rPr lang="es-AR" sz="1200"/>
            <a:t>             µ = 6 unidades/día </a:t>
          </a:r>
        </a:p>
      </xdr:txBody>
    </xdr:sp>
    <xdr:clientData/>
  </xdr:twoCellAnchor>
  <xdr:twoCellAnchor>
    <xdr:from>
      <xdr:col>4</xdr:col>
      <xdr:colOff>0</xdr:colOff>
      <xdr:row>8</xdr:row>
      <xdr:rowOff>180975</xdr:rowOff>
    </xdr:from>
    <xdr:to>
      <xdr:col>8</xdr:col>
      <xdr:colOff>28575</xdr:colOff>
      <xdr:row>13</xdr:row>
      <xdr:rowOff>0</xdr:rowOff>
    </xdr:to>
    <xdr:sp macro="" textlink="">
      <xdr:nvSpPr>
        <xdr:cNvPr id="9" name="Corchetes 8">
          <a:extLst>
            <a:ext uri="{FF2B5EF4-FFF2-40B4-BE49-F238E27FC236}">
              <a16:creationId xmlns:a16="http://schemas.microsoft.com/office/drawing/2014/main" id="{1010454F-D362-FF27-4233-4599321BE937}"/>
            </a:ext>
          </a:extLst>
        </xdr:cNvPr>
        <xdr:cNvSpPr/>
      </xdr:nvSpPr>
      <xdr:spPr>
        <a:xfrm>
          <a:off x="9686925" y="3048000"/>
          <a:ext cx="1285875" cy="790575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0</xdr:colOff>
      <xdr:row>14</xdr:row>
      <xdr:rowOff>219075</xdr:rowOff>
    </xdr:from>
    <xdr:to>
      <xdr:col>8</xdr:col>
      <xdr:colOff>28575</xdr:colOff>
      <xdr:row>19</xdr:row>
      <xdr:rowOff>38100</xdr:rowOff>
    </xdr:to>
    <xdr:sp macro="" textlink="">
      <xdr:nvSpPr>
        <xdr:cNvPr id="10" name="Corchetes 9">
          <a:extLst>
            <a:ext uri="{FF2B5EF4-FFF2-40B4-BE49-F238E27FC236}">
              <a16:creationId xmlns:a16="http://schemas.microsoft.com/office/drawing/2014/main" id="{A9C6D330-3766-415A-8D1D-449008E12EA0}"/>
            </a:ext>
          </a:extLst>
        </xdr:cNvPr>
        <xdr:cNvSpPr/>
      </xdr:nvSpPr>
      <xdr:spPr>
        <a:xfrm>
          <a:off x="9686925" y="4257675"/>
          <a:ext cx="1285875" cy="838200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4</xdr:col>
      <xdr:colOff>0</xdr:colOff>
      <xdr:row>22</xdr:row>
      <xdr:rowOff>0</xdr:rowOff>
    </xdr:from>
    <xdr:to>
      <xdr:col>8</xdr:col>
      <xdr:colOff>28575</xdr:colOff>
      <xdr:row>26</xdr:row>
      <xdr:rowOff>38100</xdr:rowOff>
    </xdr:to>
    <xdr:sp macro="" textlink="">
      <xdr:nvSpPr>
        <xdr:cNvPr id="11" name="Corchetes 10">
          <a:extLst>
            <a:ext uri="{FF2B5EF4-FFF2-40B4-BE49-F238E27FC236}">
              <a16:creationId xmlns:a16="http://schemas.microsoft.com/office/drawing/2014/main" id="{AF6BFA8E-74D3-4969-AC11-8D77687AD971}"/>
            </a:ext>
          </a:extLst>
        </xdr:cNvPr>
        <xdr:cNvSpPr/>
      </xdr:nvSpPr>
      <xdr:spPr>
        <a:xfrm>
          <a:off x="9686925" y="5657850"/>
          <a:ext cx="1285875" cy="819150"/>
        </a:xfrm>
        <a:prstGeom prst="bracketPair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0</xdr:col>
      <xdr:colOff>5648325</xdr:colOff>
      <xdr:row>20</xdr:row>
      <xdr:rowOff>161925</xdr:rowOff>
    </xdr:from>
    <xdr:to>
      <xdr:col>0</xdr:col>
      <xdr:colOff>7286625</xdr:colOff>
      <xdr:row>22</xdr:row>
      <xdr:rowOff>32555</xdr:rowOff>
    </xdr:to>
    <xdr:sp macro="" textlink="">
      <xdr:nvSpPr>
        <xdr:cNvPr id="12" name="14 Rectángulo">
          <a:extLst>
            <a:ext uri="{FF2B5EF4-FFF2-40B4-BE49-F238E27FC236}">
              <a16:creationId xmlns:a16="http://schemas.microsoft.com/office/drawing/2014/main" id="{508E4C9D-915A-458B-B2BA-6B341DD80B27}"/>
            </a:ext>
          </a:extLst>
        </xdr:cNvPr>
        <xdr:cNvSpPr/>
      </xdr:nvSpPr>
      <xdr:spPr>
        <a:xfrm>
          <a:off x="5648325" y="5410200"/>
          <a:ext cx="1638300" cy="280205"/>
        </a:xfrm>
        <a:prstGeom prst="rect">
          <a:avLst/>
        </a:prstGeom>
      </xdr:spPr>
      <xdr:txBody>
        <a:bodyPr wrap="square">
          <a:spAutoFit/>
        </a:bodyPr>
        <a:lstStyle>
          <a:defPPr>
            <a:defRPr lang="es-E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AR" sz="1200"/>
            <a:t>V = [p(0),p(1),p(2),p(3)]</a:t>
          </a:r>
        </a:p>
      </xdr:txBody>
    </xdr:sp>
    <xdr:clientData/>
  </xdr:twoCellAnchor>
  <xdr:twoCellAnchor editAs="oneCell">
    <xdr:from>
      <xdr:col>3</xdr:col>
      <xdr:colOff>222250</xdr:colOff>
      <xdr:row>2</xdr:row>
      <xdr:rowOff>114300</xdr:rowOff>
    </xdr:from>
    <xdr:to>
      <xdr:col>10</xdr:col>
      <xdr:colOff>725714</xdr:colOff>
      <xdr:row>7</xdr:row>
      <xdr:rowOff>0</xdr:rowOff>
    </xdr:to>
    <xdr:pic>
      <xdr:nvPicPr>
        <xdr:cNvPr id="13" name="Picture 4">
          <a:extLst>
            <a:ext uri="{FF2B5EF4-FFF2-40B4-BE49-F238E27FC236}">
              <a16:creationId xmlns:a16="http://schemas.microsoft.com/office/drawing/2014/main" id="{4A04B15E-B831-41EA-9B4C-D2B13EAAE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150350" y="1828800"/>
          <a:ext cx="2905125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3414959</xdr:colOff>
      <xdr:row>5</xdr:row>
      <xdr:rowOff>103909</xdr:rowOff>
    </xdr:from>
    <xdr:to>
      <xdr:col>0</xdr:col>
      <xdr:colOff>5503208</xdr:colOff>
      <xdr:row>7</xdr:row>
      <xdr:rowOff>187505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14" name="Entrada de lápiz 13">
              <a:extLst>
                <a:ext uri="{FF2B5EF4-FFF2-40B4-BE49-F238E27FC236}">
                  <a16:creationId xmlns:a16="http://schemas.microsoft.com/office/drawing/2014/main" id="{35745570-4342-D350-F7A1-C0A088FB8058}"/>
                </a:ext>
              </a:extLst>
            </xdr14:cNvPr>
            <xdr14:cNvContentPartPr/>
          </xdr14:nvContentPartPr>
          <xdr14:nvPr macro=""/>
          <xdr14:xfrm>
            <a:off x="3414959" y="2105891"/>
            <a:ext cx="2088249" cy="443814"/>
          </xdr14:xfrm>
        </xdr:contentPart>
      </mc:Choice>
      <mc:Fallback xmlns="">
        <xdr:pic>
          <xdr:nvPicPr>
            <xdr:cNvPr id="14" name="Entrada de lápiz 13">
              <a:extLst>
                <a:ext uri="{FF2B5EF4-FFF2-40B4-BE49-F238E27FC236}">
                  <a16:creationId xmlns:a16="http://schemas.microsoft.com/office/drawing/2014/main" id="{35745570-4342-D350-F7A1-C0A088FB8058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3408838" y="2099767"/>
              <a:ext cx="2100490" cy="456062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13800</xdr:colOff>
      <xdr:row>3</xdr:row>
      <xdr:rowOff>171371</xdr:rowOff>
    </xdr:from>
    <xdr:to>
      <xdr:col>5</xdr:col>
      <xdr:colOff>468840</xdr:colOff>
      <xdr:row>4</xdr:row>
      <xdr:rowOff>111142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15" name="Entrada de lápiz 14">
              <a:extLst>
                <a:ext uri="{FF2B5EF4-FFF2-40B4-BE49-F238E27FC236}">
                  <a16:creationId xmlns:a16="http://schemas.microsoft.com/office/drawing/2014/main" id="{57197F60-1E2D-3984-B7ED-CBADB11C49D0}"/>
                </a:ext>
              </a:extLst>
            </xdr14:cNvPr>
            <xdr14:cNvContentPartPr/>
          </xdr14:nvContentPartPr>
          <xdr14:nvPr macro=""/>
          <xdr14:xfrm>
            <a:off x="9760473" y="1813135"/>
            <a:ext cx="455040" cy="119880"/>
          </xdr14:xfrm>
        </xdr:contentPart>
      </mc:Choice>
      <mc:Fallback xmlns="">
        <xdr:pic>
          <xdr:nvPicPr>
            <xdr:cNvPr id="15" name="Entrada de lápiz 14">
              <a:extLst>
                <a:ext uri="{FF2B5EF4-FFF2-40B4-BE49-F238E27FC236}">
                  <a16:creationId xmlns:a16="http://schemas.microsoft.com/office/drawing/2014/main" id="{57197F60-1E2D-3984-B7ED-CBADB11C49D0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9754353" y="1807015"/>
              <a:ext cx="467280" cy="1321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332411</xdr:colOff>
      <xdr:row>5</xdr:row>
      <xdr:rowOff>4833</xdr:rowOff>
    </xdr:from>
    <xdr:to>
      <xdr:col>7</xdr:col>
      <xdr:colOff>259702</xdr:colOff>
      <xdr:row>5</xdr:row>
      <xdr:rowOff>105633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6" name="Entrada de lápiz 15">
              <a:extLst>
                <a:ext uri="{FF2B5EF4-FFF2-40B4-BE49-F238E27FC236}">
                  <a16:creationId xmlns:a16="http://schemas.microsoft.com/office/drawing/2014/main" id="{4820A653-7DE3-0F25-9897-2759B7189FD6}"/>
                </a:ext>
              </a:extLst>
            </xdr14:cNvPr>
            <xdr14:cNvContentPartPr/>
          </xdr14:nvContentPartPr>
          <xdr14:nvPr macro=""/>
          <xdr14:xfrm>
            <a:off x="10563993" y="2006815"/>
            <a:ext cx="412200" cy="100800"/>
          </xdr14:xfrm>
        </xdr:contentPart>
      </mc:Choice>
      <mc:Fallback xmlns="">
        <xdr:pic>
          <xdr:nvPicPr>
            <xdr:cNvPr id="16" name="Entrada de lápiz 15">
              <a:extLst>
                <a:ext uri="{FF2B5EF4-FFF2-40B4-BE49-F238E27FC236}">
                  <a16:creationId xmlns:a16="http://schemas.microsoft.com/office/drawing/2014/main" id="{4820A653-7DE3-0F25-9897-2759B7189FD6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10557873" y="2000695"/>
              <a:ext cx="424440" cy="113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311531</xdr:colOff>
      <xdr:row>5</xdr:row>
      <xdr:rowOff>40833</xdr:rowOff>
    </xdr:from>
    <xdr:to>
      <xdr:col>6</xdr:col>
      <xdr:colOff>414851</xdr:colOff>
      <xdr:row>5</xdr:row>
      <xdr:rowOff>103833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7" name="Entrada de lápiz 16">
              <a:extLst>
                <a:ext uri="{FF2B5EF4-FFF2-40B4-BE49-F238E27FC236}">
                  <a16:creationId xmlns:a16="http://schemas.microsoft.com/office/drawing/2014/main" id="{F028FE17-2215-40F3-6299-D22C6D314358}"/>
                </a:ext>
              </a:extLst>
            </xdr14:cNvPr>
            <xdr14:cNvContentPartPr/>
          </xdr14:nvContentPartPr>
          <xdr14:nvPr macro=""/>
          <xdr14:xfrm>
            <a:off x="10543113" y="2042815"/>
            <a:ext cx="103320" cy="63000"/>
          </xdr14:xfrm>
        </xdr:contentPart>
      </mc:Choice>
      <mc:Fallback xmlns="">
        <xdr:pic>
          <xdr:nvPicPr>
            <xdr:cNvPr id="17" name="Entrada de lápiz 16">
              <a:extLst>
                <a:ext uri="{FF2B5EF4-FFF2-40B4-BE49-F238E27FC236}">
                  <a16:creationId xmlns:a16="http://schemas.microsoft.com/office/drawing/2014/main" id="{F028FE17-2215-40F3-6299-D22C6D314358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10536993" y="2036695"/>
              <a:ext cx="115560" cy="75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116040</xdr:colOff>
      <xdr:row>10</xdr:row>
      <xdr:rowOff>6099</xdr:rowOff>
    </xdr:from>
    <xdr:to>
      <xdr:col>5</xdr:col>
      <xdr:colOff>382440</xdr:colOff>
      <xdr:row>11</xdr:row>
      <xdr:rowOff>1670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21" name="Entrada de lápiz 20">
              <a:extLst>
                <a:ext uri="{FF2B5EF4-FFF2-40B4-BE49-F238E27FC236}">
                  <a16:creationId xmlns:a16="http://schemas.microsoft.com/office/drawing/2014/main" id="{DD7F9F87-DE5A-7B83-EC91-8D1109A51B19}"/>
                </a:ext>
              </a:extLst>
            </xdr14:cNvPr>
            <xdr14:cNvContentPartPr/>
          </xdr14:nvContentPartPr>
          <xdr14:nvPr macro=""/>
          <xdr14:xfrm>
            <a:off x="9862713" y="2936335"/>
            <a:ext cx="266400" cy="175680"/>
          </xdr14:xfrm>
        </xdr:contentPart>
      </mc:Choice>
      <mc:Fallback xmlns="">
        <xdr:pic>
          <xdr:nvPicPr>
            <xdr:cNvPr id="21" name="Entrada de lápiz 20">
              <a:extLst>
                <a:ext uri="{FF2B5EF4-FFF2-40B4-BE49-F238E27FC236}">
                  <a16:creationId xmlns:a16="http://schemas.microsoft.com/office/drawing/2014/main" id="{DD7F9F87-DE5A-7B83-EC91-8D1109A51B19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9856593" y="2930215"/>
              <a:ext cx="278640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283800</xdr:colOff>
      <xdr:row>3</xdr:row>
      <xdr:rowOff>55451</xdr:rowOff>
    </xdr:from>
    <xdr:to>
      <xdr:col>5</xdr:col>
      <xdr:colOff>367320</xdr:colOff>
      <xdr:row>3</xdr:row>
      <xdr:rowOff>104771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24" name="Entrada de lápiz 23">
              <a:extLst>
                <a:ext uri="{FF2B5EF4-FFF2-40B4-BE49-F238E27FC236}">
                  <a16:creationId xmlns:a16="http://schemas.microsoft.com/office/drawing/2014/main" id="{EEB25B3D-207D-1103-707C-75344B90FEBB}"/>
                </a:ext>
              </a:extLst>
            </xdr14:cNvPr>
            <xdr14:cNvContentPartPr/>
          </xdr14:nvContentPartPr>
          <xdr14:nvPr macro=""/>
          <xdr14:xfrm>
            <a:off x="10030473" y="1697215"/>
            <a:ext cx="83520" cy="49320"/>
          </xdr14:xfrm>
        </xdr:contentPart>
      </mc:Choice>
      <mc:Fallback xmlns="">
        <xdr:pic>
          <xdr:nvPicPr>
            <xdr:cNvPr id="24" name="Entrada de lápiz 23">
              <a:extLst>
                <a:ext uri="{FF2B5EF4-FFF2-40B4-BE49-F238E27FC236}">
                  <a16:creationId xmlns:a16="http://schemas.microsoft.com/office/drawing/2014/main" id="{EEB25B3D-207D-1103-707C-75344B90FEBB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10024353" y="1691095"/>
              <a:ext cx="95760" cy="6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476040</xdr:colOff>
      <xdr:row>2</xdr:row>
      <xdr:rowOff>145200</xdr:rowOff>
    </xdr:from>
    <xdr:to>
      <xdr:col>6</xdr:col>
      <xdr:colOff>72131</xdr:colOff>
      <xdr:row>3</xdr:row>
      <xdr:rowOff>86771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27" name="Entrada de lápiz 26">
              <a:extLst>
                <a:ext uri="{FF2B5EF4-FFF2-40B4-BE49-F238E27FC236}">
                  <a16:creationId xmlns:a16="http://schemas.microsoft.com/office/drawing/2014/main" id="{4C869B68-BCFE-0E50-B88D-9E187846388A}"/>
                </a:ext>
              </a:extLst>
            </xdr14:cNvPr>
            <xdr14:cNvContentPartPr/>
          </xdr14:nvContentPartPr>
          <xdr14:nvPr macro=""/>
          <xdr14:xfrm>
            <a:off x="10222713" y="1606855"/>
            <a:ext cx="81000" cy="121680"/>
          </xdr14:xfrm>
        </xdr:contentPart>
      </mc:Choice>
      <mc:Fallback xmlns="">
        <xdr:pic>
          <xdr:nvPicPr>
            <xdr:cNvPr id="27" name="Entrada de lápiz 26">
              <a:extLst>
                <a:ext uri="{FF2B5EF4-FFF2-40B4-BE49-F238E27FC236}">
                  <a16:creationId xmlns:a16="http://schemas.microsoft.com/office/drawing/2014/main" id="{4C869B68-BCFE-0E50-B88D-9E187846388A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0216593" y="1600735"/>
              <a:ext cx="93240" cy="133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110662</xdr:colOff>
      <xdr:row>6</xdr:row>
      <xdr:rowOff>6884</xdr:rowOff>
    </xdr:from>
    <xdr:to>
      <xdr:col>7</xdr:col>
      <xdr:colOff>184822</xdr:colOff>
      <xdr:row>6</xdr:row>
      <xdr:rowOff>55844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30" name="Entrada de lápiz 29">
              <a:extLst>
                <a:ext uri="{FF2B5EF4-FFF2-40B4-BE49-F238E27FC236}">
                  <a16:creationId xmlns:a16="http://schemas.microsoft.com/office/drawing/2014/main" id="{0FB2FF1B-C4FF-49B4-B157-1C59C090A55F}"/>
                </a:ext>
              </a:extLst>
            </xdr14:cNvPr>
            <xdr14:cNvContentPartPr/>
          </xdr14:nvContentPartPr>
          <xdr14:nvPr macro=""/>
          <xdr14:xfrm>
            <a:off x="10827153" y="2188975"/>
            <a:ext cx="74160" cy="48960"/>
          </xdr14:xfrm>
        </xdr:contentPart>
      </mc:Choice>
      <mc:Fallback xmlns="">
        <xdr:pic>
          <xdr:nvPicPr>
            <xdr:cNvPr id="30" name="Entrada de lápiz 29">
              <a:extLst>
                <a:ext uri="{FF2B5EF4-FFF2-40B4-BE49-F238E27FC236}">
                  <a16:creationId xmlns:a16="http://schemas.microsoft.com/office/drawing/2014/main" id="{0FB2FF1B-C4FF-49B4-B157-1C59C090A55F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10821033" y="2182855"/>
              <a:ext cx="86400" cy="61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212902</xdr:colOff>
      <xdr:row>5</xdr:row>
      <xdr:rowOff>145233</xdr:rowOff>
    </xdr:from>
    <xdr:to>
      <xdr:col>7</xdr:col>
      <xdr:colOff>327022</xdr:colOff>
      <xdr:row>6</xdr:row>
      <xdr:rowOff>97964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32" name="Entrada de lápiz 31">
              <a:extLst>
                <a:ext uri="{FF2B5EF4-FFF2-40B4-BE49-F238E27FC236}">
                  <a16:creationId xmlns:a16="http://schemas.microsoft.com/office/drawing/2014/main" id="{DE557784-8D49-B128-F8DD-2FC0BE5BF7F2}"/>
                </a:ext>
              </a:extLst>
            </xdr14:cNvPr>
            <xdr14:cNvContentPartPr/>
          </xdr14:nvContentPartPr>
          <xdr14:nvPr macro=""/>
          <xdr14:xfrm>
            <a:off x="10929393" y="2147215"/>
            <a:ext cx="114120" cy="132840"/>
          </xdr14:xfrm>
        </xdr:contentPart>
      </mc:Choice>
      <mc:Fallback xmlns="">
        <xdr:pic>
          <xdr:nvPicPr>
            <xdr:cNvPr id="32" name="Entrada de lápiz 31">
              <a:extLst>
                <a:ext uri="{FF2B5EF4-FFF2-40B4-BE49-F238E27FC236}">
                  <a16:creationId xmlns:a16="http://schemas.microsoft.com/office/drawing/2014/main" id="{DE557784-8D49-B128-F8DD-2FC0BE5BF7F2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10923273" y="2141095"/>
              <a:ext cx="126360" cy="145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3602292</xdr:colOff>
      <xdr:row>9</xdr:row>
      <xdr:rowOff>93425</xdr:rowOff>
    </xdr:from>
    <xdr:to>
      <xdr:col>0</xdr:col>
      <xdr:colOff>3937758</xdr:colOff>
      <xdr:row>9</xdr:row>
      <xdr:rowOff>139144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35" name="Entrada de lápiz 34">
              <a:extLst>
                <a:ext uri="{FF2B5EF4-FFF2-40B4-BE49-F238E27FC236}">
                  <a16:creationId xmlns:a16="http://schemas.microsoft.com/office/drawing/2014/main" id="{BCE0F268-B29B-ADEF-AE39-1C73559B2E70}"/>
                </a:ext>
              </a:extLst>
            </xdr14:cNvPr>
            <xdr14:cNvContentPartPr/>
          </xdr14:nvContentPartPr>
          <xdr14:nvPr macro=""/>
          <xdr14:xfrm>
            <a:off x="3602292" y="2843552"/>
            <a:ext cx="335466" cy="45719"/>
          </xdr14:xfrm>
        </xdr:contentPart>
      </mc:Choice>
      <mc:Fallback xmlns="">
        <xdr:pic>
          <xdr:nvPicPr>
            <xdr:cNvPr id="35" name="Entrada de lápiz 34">
              <a:extLst>
                <a:ext uri="{FF2B5EF4-FFF2-40B4-BE49-F238E27FC236}">
                  <a16:creationId xmlns:a16="http://schemas.microsoft.com/office/drawing/2014/main" id="{BCE0F268-B29B-ADEF-AE39-1C73559B2E70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595813" y="2837480"/>
              <a:ext cx="347704" cy="5786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1987920</xdr:colOff>
      <xdr:row>16</xdr:row>
      <xdr:rowOff>27873</xdr:rowOff>
    </xdr:from>
    <xdr:to>
      <xdr:col>0</xdr:col>
      <xdr:colOff>2448000</xdr:colOff>
      <xdr:row>17</xdr:row>
      <xdr:rowOff>9589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36" name="Entrada de lápiz 35">
              <a:extLst>
                <a:ext uri="{FF2B5EF4-FFF2-40B4-BE49-F238E27FC236}">
                  <a16:creationId xmlns:a16="http://schemas.microsoft.com/office/drawing/2014/main" id="{66DB4A26-F3E4-2884-6CC9-DCEC6678DFF8}"/>
                </a:ext>
              </a:extLst>
            </xdr14:cNvPr>
            <xdr14:cNvContentPartPr/>
          </xdr14:nvContentPartPr>
          <xdr14:nvPr macro=""/>
          <xdr14:xfrm>
            <a:off x="1987920" y="4094182"/>
            <a:ext cx="460080" cy="175680"/>
          </xdr14:xfrm>
        </xdr:contentPart>
      </mc:Choice>
      <mc:Fallback xmlns="">
        <xdr:pic>
          <xdr:nvPicPr>
            <xdr:cNvPr id="36" name="Entrada de lápiz 35">
              <a:extLst>
                <a:ext uri="{FF2B5EF4-FFF2-40B4-BE49-F238E27FC236}">
                  <a16:creationId xmlns:a16="http://schemas.microsoft.com/office/drawing/2014/main" id="{66DB4A26-F3E4-2884-6CC9-DCEC6678DFF8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1981800" y="4087702"/>
              <a:ext cx="472320" cy="187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3754440</xdr:colOff>
      <xdr:row>19</xdr:row>
      <xdr:rowOff>155684</xdr:rowOff>
    </xdr:from>
    <xdr:to>
      <xdr:col>0</xdr:col>
      <xdr:colOff>5148360</xdr:colOff>
      <xdr:row>20</xdr:row>
      <xdr:rowOff>131814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37" name="Entrada de lápiz 36">
              <a:extLst>
                <a:ext uri="{FF2B5EF4-FFF2-40B4-BE49-F238E27FC236}">
                  <a16:creationId xmlns:a16="http://schemas.microsoft.com/office/drawing/2014/main" id="{7976B94F-CE09-03D3-1113-E6F0B6F679CC}"/>
                </a:ext>
              </a:extLst>
            </xdr14:cNvPr>
            <xdr14:cNvContentPartPr/>
          </xdr14:nvContentPartPr>
          <xdr14:nvPr macro=""/>
          <xdr14:xfrm>
            <a:off x="3754440" y="4790029"/>
            <a:ext cx="1393920" cy="156240"/>
          </xdr14:xfrm>
        </xdr:contentPart>
      </mc:Choice>
      <mc:Fallback xmlns="">
        <xdr:pic>
          <xdr:nvPicPr>
            <xdr:cNvPr id="37" name="Entrada de lápiz 36">
              <a:extLst>
                <a:ext uri="{FF2B5EF4-FFF2-40B4-BE49-F238E27FC236}">
                  <a16:creationId xmlns:a16="http://schemas.microsoft.com/office/drawing/2014/main" id="{7976B94F-CE09-03D3-1113-E6F0B6F679CC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748320" y="4783909"/>
              <a:ext cx="1406160" cy="168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3740400</xdr:colOff>
      <xdr:row>23</xdr:row>
      <xdr:rowOff>124484</xdr:rowOff>
    </xdr:from>
    <xdr:to>
      <xdr:col>0</xdr:col>
      <xdr:colOff>4581360</xdr:colOff>
      <xdr:row>24</xdr:row>
      <xdr:rowOff>55080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38" name="Entrada de lápiz 37">
              <a:extLst>
                <a:ext uri="{FF2B5EF4-FFF2-40B4-BE49-F238E27FC236}">
                  <a16:creationId xmlns:a16="http://schemas.microsoft.com/office/drawing/2014/main" id="{65A78447-AEBA-D592-EDEE-E3B944E8A789}"/>
                </a:ext>
              </a:extLst>
            </xdr14:cNvPr>
            <xdr14:cNvContentPartPr/>
          </xdr14:nvContentPartPr>
          <xdr14:nvPr macro=""/>
          <xdr14:xfrm>
            <a:off x="3740400" y="5520829"/>
            <a:ext cx="840960" cy="124560"/>
          </xdr14:xfrm>
        </xdr:contentPart>
      </mc:Choice>
      <mc:Fallback xmlns="">
        <xdr:pic>
          <xdr:nvPicPr>
            <xdr:cNvPr id="38" name="Entrada de lápiz 37">
              <a:extLst>
                <a:ext uri="{FF2B5EF4-FFF2-40B4-BE49-F238E27FC236}">
                  <a16:creationId xmlns:a16="http://schemas.microsoft.com/office/drawing/2014/main" id="{65A78447-AEBA-D592-EDEE-E3B944E8A789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734280" y="5514709"/>
              <a:ext cx="853200" cy="136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3241440</xdr:colOff>
      <xdr:row>17</xdr:row>
      <xdr:rowOff>192076</xdr:rowOff>
    </xdr:from>
    <xdr:to>
      <xdr:col>0</xdr:col>
      <xdr:colOff>5216400</xdr:colOff>
      <xdr:row>18</xdr:row>
      <xdr:rowOff>138873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40" name="Entrada de lápiz 39">
              <a:extLst>
                <a:ext uri="{FF2B5EF4-FFF2-40B4-BE49-F238E27FC236}">
                  <a16:creationId xmlns:a16="http://schemas.microsoft.com/office/drawing/2014/main" id="{25D1FDF1-B3F9-9D36-9E74-2E5D6E767DF8}"/>
                </a:ext>
              </a:extLst>
            </xdr14:cNvPr>
            <xdr14:cNvContentPartPr/>
          </xdr14:nvContentPartPr>
          <xdr14:nvPr macro=""/>
          <xdr14:xfrm>
            <a:off x="3241440" y="4452349"/>
            <a:ext cx="1974960" cy="140760"/>
          </xdr14:xfrm>
        </xdr:contentPart>
      </mc:Choice>
      <mc:Fallback xmlns="">
        <xdr:pic>
          <xdr:nvPicPr>
            <xdr:cNvPr id="40" name="Entrada de lápiz 39">
              <a:extLst>
                <a:ext uri="{FF2B5EF4-FFF2-40B4-BE49-F238E27FC236}">
                  <a16:creationId xmlns:a16="http://schemas.microsoft.com/office/drawing/2014/main" id="{25D1FDF1-B3F9-9D36-9E74-2E5D6E767DF8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3235320" y="4446229"/>
              <a:ext cx="1987200" cy="153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587498</xdr:colOff>
      <xdr:row>21</xdr:row>
      <xdr:rowOff>5672</xdr:rowOff>
    </xdr:from>
    <xdr:to>
      <xdr:col>4</xdr:col>
      <xdr:colOff>7156</xdr:colOff>
      <xdr:row>22</xdr:row>
      <xdr:rowOff>16014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42" name="Entrada de lápiz 41">
              <a:extLst>
                <a:ext uri="{FF2B5EF4-FFF2-40B4-BE49-F238E27FC236}">
                  <a16:creationId xmlns:a16="http://schemas.microsoft.com/office/drawing/2014/main" id="{07CAAD3F-5C4E-0A8A-B3F4-9A9A557B0BAA}"/>
                </a:ext>
              </a:extLst>
            </xdr14:cNvPr>
            <xdr14:cNvContentPartPr/>
          </xdr14:nvContentPartPr>
          <xdr14:nvPr macro=""/>
          <xdr14:xfrm>
            <a:off x="8990280" y="5000236"/>
            <a:ext cx="278640" cy="218160"/>
          </xdr14:xfrm>
        </xdr:contentPart>
      </mc:Choice>
      <mc:Fallback xmlns="">
        <xdr:pic>
          <xdr:nvPicPr>
            <xdr:cNvPr id="42" name="Entrada de lápiz 41">
              <a:extLst>
                <a:ext uri="{FF2B5EF4-FFF2-40B4-BE49-F238E27FC236}">
                  <a16:creationId xmlns:a16="http://schemas.microsoft.com/office/drawing/2014/main" id="{07CAAD3F-5C4E-0A8A-B3F4-9A9A557B0BAA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8984160" y="4994116"/>
              <a:ext cx="290880" cy="2304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463963</xdr:colOff>
      <xdr:row>15</xdr:row>
      <xdr:rowOff>55179</xdr:rowOff>
    </xdr:from>
    <xdr:to>
      <xdr:col>3</xdr:col>
      <xdr:colOff>154429</xdr:colOff>
      <xdr:row>20</xdr:row>
      <xdr:rowOff>90829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43" name="Entrada de lápiz 42">
              <a:extLst>
                <a:ext uri="{FF2B5EF4-FFF2-40B4-BE49-F238E27FC236}">
                  <a16:creationId xmlns:a16="http://schemas.microsoft.com/office/drawing/2014/main" id="{ADB6AC2C-E90E-D567-3D78-13FB35490ED1}"/>
                </a:ext>
              </a:extLst>
            </xdr14:cNvPr>
            <xdr14:cNvContentPartPr/>
          </xdr14:nvContentPartPr>
          <xdr14:nvPr macro=""/>
          <xdr14:xfrm>
            <a:off x="8866745" y="3927524"/>
            <a:ext cx="313920" cy="977760"/>
          </xdr14:xfrm>
        </xdr:contentPart>
      </mc:Choice>
      <mc:Fallback xmlns="">
        <xdr:pic>
          <xdr:nvPicPr>
            <xdr:cNvPr id="43" name="Entrada de lápiz 42">
              <a:extLst>
                <a:ext uri="{FF2B5EF4-FFF2-40B4-BE49-F238E27FC236}">
                  <a16:creationId xmlns:a16="http://schemas.microsoft.com/office/drawing/2014/main" id="{ADB6AC2C-E90E-D567-3D78-13FB35490ED1}"/>
                </a:ext>
              </a:extLst>
            </xdr:cNvPr>
            <xdr:cNvPicPr/>
          </xdr:nvPicPr>
          <xdr:blipFill>
            <a:blip xmlns:r="http://schemas.openxmlformats.org/officeDocument/2006/relationships" r:embed="rId37"/>
            <a:stretch>
              <a:fillRect/>
            </a:stretch>
          </xdr:blipFill>
          <xdr:spPr>
            <a:xfrm>
              <a:off x="8860625" y="3921404"/>
              <a:ext cx="326160" cy="990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5T19:56:29.28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1232 24575,'18'-1'0,"0"0"0,-1-2 0,0 1 0,1-2 0,-1-1 0,-1 0 0,1-1 0,-1 0 0,0-2 0,0 0 0,-1 0 0,0-2 0,25-19 0,-9 6 0,-22 16 0,1 0 0,-1 0 0,-1-1 0,1 0 0,10-13 0,-2 0 0,36-34 0,0 2 0,-46 46 0,1 1 0,1 0 0,-1 1 0,1 0 0,0 0 0,0 1 0,0 0 0,0 0 0,1 1 0,0 1 0,0 0 0,14-2 0,37-11 0,16-14 0,0-4 0,110-64 0,-150 78 0,1 2 0,0 1 0,1 3 0,1 1 0,0 1 0,1 3 0,55-5 0,297 3 0,-273 12 0,2515-2 0,-2589-2 0,0-3 0,0-2 0,0-1 0,-1-3 0,82-31 0,-36 12 0,-26 10 0,0-3 0,-2-3 0,80-44 0,-101 42 0,60-52 0,-47 35 0,-40 33 0,-9 8 0,0 0 0,-1-1 0,0 1 0,1-1 0,-2-1 0,9-10 0,-12 14 0,0 0 0,0 0 0,0 0 0,0 0 0,-1 0 0,1-1 0,-1 1 0,0 0 0,0 0 0,1 0 0,-1-1 0,-1 1 0,1 0 0,0 0 0,-1-1 0,1 1 0,-1 0 0,1 0 0,-1 0 0,0 0 0,0 0 0,0 0 0,0 0 0,0 0 0,-1 0 0,1 0 0,-2-1 0,-1-2 0,-1 1 0,1-1 0,-1 1 0,0 0 0,0 1 0,-1-1 0,1 1 0,-1 0 0,1 1 0,-8-3 0,-27-16 0,39 19 0,4 3 0,13 5 0,22 12 0,-26-12 0,0-1 0,0 0 0,1-1 0,0 0 0,-1-1 0,1-1 0,0 0 0,0 0 0,17-1 0,-21-1 0,1 0 0,0-1 0,-1 0 0,1-1 0,0 0 0,-1 0 0,0-1 0,0 0 0,0-1 0,0 0 0,0 0 0,-1-1 0,10-6 0,-10 3 0,-10 5 0,-15 14 0,12-5 0,0 1 0,0 0 0,1 0 0,0 1 0,1-1 0,-1 1 0,1 0 0,1 0 0,-3 12 0,0 8 0,-2 42 0,5-41 0,2-27 0,0 0 0,0 0 0,0-1 0,0 1 0,0 0 0,-1 0 0,1 0 0,-1-1 0,0 1 0,1 0 0,-1-1 0,0 1 0,0 0 0,0-1 0,0 1 0,0-1 0,-2 2 0,2-2 0,1-1 0,-1 0 0,0 1 0,0-1 0,0 0 0,0 1 0,0-1 0,0 0 0,0 0 0,0 0 0,0 0 0,0 0 0,0 0 0,0 0 0,0 0 0,0 0 0,0-1 0,0 1 0,0 0 0,0-1 0,0 1 0,-1-1 0,-8-5 0,1 0 0,1-1 0,-1 1 0,-13-15 0,-1 0 0,-3 4-1365,14 10-5461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5T20:15:34.40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0 332 24575,'5'-1'0,"-1"-1"0,0-1 0,1 1 0,-1 0 0,0-1 0,-1 0 0,1 0 0,0 0 0,-1-1 0,0 1 0,4-5 0,0 0 0,5-3 0,1 0 0,19-11 0,-19 13 0,0 0 0,21-20 0,-28 21 0,1 1 0,0 0 0,0 1 0,1 0 0,0 0 0,0 0 0,1 1 0,-1 1 0,1-1 0,0 1 0,1 1 0,-1 0 0,0 0 0,11-1 0,-7 1 0,0 0 0,0-1 0,-1 0 0,17-9 0,-15 7 0,1 0 0,27-7 0,83-23 0,-65 17 0,-39 15 0,1 1 0,-1 0 0,1 2 0,0 0 0,32 4 0,5-1 0,-55-2 0,1 0 0,-1 1 0,0-1 0,0 1 0,1 0 0,-1 0 0,0 0 0,0 0 0,0 1 0,0-1 0,0 1 0,-1 0 0,1 1 0,-1-1 0,1 1 0,-1-1 0,0 1 0,6 6 0,-3 0 0,1 1 0,-1 0 0,0 0 0,-1 1 0,6 17 0,9 7 0,-16-30 0,-1-1 0,0 1 0,0 0 0,-1 0 0,1 0 0,-1 0 0,2 9 0,-4-16 0,-2-6 0,1-1 0,0 0 0,0 1 0,1-1 0,0 0 0,1 1 0,0-1 0,0 0 0,1 1 0,0-1 0,5-14 0,1 4 0,-7 14 0,1 1 0,-1 0 0,1 0 0,0-1 0,0 1 0,4-5 0,-5 9 0,-1-1 0,1 0 0,0 1 0,-1-1 0,1 1 0,0-1 0,0 1 0,0-1 0,-1 1 0,1 0 0,0-1 0,0 1 0,0 0 0,0 0 0,0 0 0,0 0 0,-1-1 0,1 1 0,0 0 0,0 1 0,0-1 0,0 0 0,0 0 0,0 0 0,0 0 0,0 1 0,-1-1 0,1 0 0,0 1 0,0-1 0,0 1 0,-1-1 0,1 1 0,0-1 0,-1 1 0,2 1 0,9 7 0,-1 0 0,0 1 0,9 11 0,-11-10 0,1-2 0,1 1 0,17 13 0,15 16 0,-40-37 0,1 1 0,-1-1 0,0 1 0,0 0 0,0-1 0,0 1 0,-1 0 0,1 0 0,-1 0 0,0 0 0,0 1 0,0-1 0,0 0 0,0 5 0,-1-7 0,-1 0 0,1 0 0,-1 0 0,0 1 0,1-1 0,-1 0 0,0 0 0,0 0 0,1 0 0,-1 0 0,0 0 0,0 0 0,0-1 0,0 1 0,0 0 0,-1 0 0,1-1 0,0 1 0,0-1 0,0 1 0,-1-1 0,1 1 0,0-1 0,0 0 0,-1 0 0,1 1 0,0-1 0,-2 0 0,-45 1 0,40-1 0,-144-4 0,156 4 0,0 0 0,0 0 0,0-1 0,0 0 0,0 0 0,0 0 0,0-1 0,-1 1 0,1-1 0,0 0 0,-1 1 0,1-2 0,-1 1 0,0 0 0,0-1 0,0 0 0,0 1 0,0-1 0,-1 0 0,1 0 0,-1-1 0,0 1 0,0-1 0,0 1 0,0-1 0,-1 1 0,1-1 0,-1 0 0,0 0 0,0 0 0,0 0 0,-1 0 0,1 0 0,-1 0 0,0 0 0,-1-4 0,1 8 0,0-1 0,0 1 0,0 0 0,0 0 0,0-1 0,0 1 0,0 0 0,0 0 0,0-1 0,0 1 0,0 0 0,0-1 0,0 1 0,0 0 0,0 0 0,1-1 0,-1 1 0,0 0 0,0 0 0,0-1 0,0 1 0,0 0 0,1 0 0,-1 0 0,0-1 0,0 1 0,0 0 0,1 0 0,-1 0 0,0 0 0,0-1 0,1 1 0,-1 0 0,0 0 0,0 0 0,1 0 0,-1 0 0,0 0 0,13 4 0,15 19 0,-23-20 0,5 2 0,-7-10 0,-3 5 0,0-1 0,0 1 0,0-1 0,1 1 0,-1 0 0,0-1 0,0 1 0,1-1 0,-1 1 0,0 0 0,0-1 0,1 1 0,-1 0 0,0-1 0,1 1 0,-1 0 0,1 0 0,-1-1 0,0 1 0,1 0 0,-1 0 0,1 0 0,-1-1 0,1 1 0,-1 0 0,0 0 0,1 0 0,-1 0 0,1 0 0,-1 0 0,1 0 0,-1 0 0,1 0 0,-1 0 0,1 0 0,-1 0 0,0 1 0,1-1 0,-1 0 0,1 0 0,-1 0 0,1 0 0,-1 1 0,0-1 0,1 0 0,-1 1 0,1-1 0,0 1-80,0-1 0,0 1-1,0-1 1,1 1 0,-1 0-1,0-1 1,0 1 0,0 0-1,0 0 1,-1 0 0,1 0 0,0 0-1,0 0 1,0 0 0,-1 0-1,2 2 1,1 7-6746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5T20:15:36.731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0 102 24575,'4'0'0,"-1"1"0,0 0 0,0-1 0,1 2 0,-1-1 0,0 0 0,0 0 0,4 4 0,10 3 0,179 78 0,-165-72 0,0-2 0,1-1 0,1-2 0,0-1 0,0-2 0,0-1 0,1-1 0,-1-2 0,1-1 0,49-6 0,-68 2 0,-1-1 0,0 0 0,0-1 0,0 0 0,0-1 0,22-15 0,-5 5 0,-4 2 0,3 0 0,45-31 0,-26 9 0,-16 11 0,63-35 0,-82 52-1365,-2-1-5461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5T20:15:39.75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193 175 24575,'0'-13'0,"0"-1"0,1 1 0,5-22 0,-5 31 0,0 0 0,0 1 0,0-1 0,1 0 0,-1 1 0,1-1 0,0 1 0,0-1 0,0 1 0,1 0 0,-1 0 0,1 0 0,0 0 0,-1 1 0,1-1 0,0 1 0,4-3 0,-10 14 0,0-1 0,-1 1 0,0-1 0,-7 10 0,10-15 0,-1 0 0,1 0 0,-1-1 0,0 1 0,0-1 0,-1 1 0,1-1 0,0 0 0,-1 0 0,1 0 0,-1 0 0,0-1 0,0 1 0,1-1 0,-5 2 0,5-2 0,-1-1 0,0 0 0,1 0 0,-1 0 0,1 0 0,-1 0 0,0-1 0,1 1 0,-1-1 0,1 1 0,-1-1 0,1 0 0,-1 0 0,1 0 0,0-1 0,-1 1 0,1 0 0,0-1 0,-2-1 0,-31-25 0,25 19 0,0 1 0,0 0 0,-1 1 0,0 0 0,-20-9 0,24 12 0,9 1 0,20 0 0,52 3 0,-57 1 0,54-1 0,-110-16 0,95 11 0,9 5-1365,-47 1-5461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5T20:15:53.62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428 22 24575,'0'-1'0,"0"0"0,0 0 0,-1 1 0,1-1 0,0 0 0,-1 1 0,1-1 0,0 0 0,-1 1 0,1-1 0,-1 1 0,1-1 0,-1 1 0,1-1 0,-1 1 0,0-1 0,1 1 0,-1 0 0,1-1 0,-1 1 0,0 0 0,1-1 0,-1 1 0,0 0 0,0 0 0,1-1 0,-3 1 0,-23-3 0,22 2 0,-1 1 0,-26-3 0,-63 3 0,86 0 0,0 1 0,0 0 0,1 1 0,-1-1 0,0 1 0,0 1 0,1 0 0,0 0 0,-1 0 0,1 1 0,0 0 0,1 1 0,-10 6 0,12-6 0,-1 1 0,1 0 0,-1 0 0,-5 12 0,6-11 0,1-1 0,-1 0 0,-1 0 0,1 0 0,-7 7 0,-12 6 0,19-16 0,-1 0 0,1 0 0,1 0 0,-1 1 0,0-1 0,1 1 0,0 0 0,0 0 0,0 0 0,0 0 0,0 1 0,1-1 0,0 1 0,0-1 0,0 1 0,1 0 0,-1 0 0,0 9 0,1 4 0,0-1 0,1 1 0,4 23 0,-3-35 0,0 0 0,0 1 0,1-1 0,0 0 0,0 0 0,0-1 0,1 1 0,0 0 0,0-1 0,1 0 0,-1 1 0,9 8 0,-7-11 0,0 0 0,1 0 0,-1-1 0,1 1 0,0-1 0,0 0 0,0-1 0,0 1 0,0-1 0,10 0 0,24 7 0,4 5 0,75 11 0,-80-20 0,1-1 0,0-2 0,48-6 0,-79 4 0,0-1 0,0 0 0,0 0 0,0-1 0,0 0 0,0-1 0,-1 0 0,0 0 0,1-1 0,-1 1 0,-1-2 0,1 1 0,-1-1 0,0-1 0,-1 1 0,1-1 0,-1 0 0,0-1 0,-1 1 0,0-1 0,4-9 0,-1 3 0,-2 0 0,0-1 0,-1 0 0,0 0 0,-1 0 0,-1-1 0,0 1 0,-1-1 0,-1 0 0,0 0 0,-3-26 0,1 38 0,0-1 0,-1 1 0,1 1 0,-1-1 0,0 0 0,0 0 0,0 0 0,0 1 0,-1-1 0,1 1 0,-1 0 0,0 0 0,0 0 0,0 0 0,-1 0 0,-5-3 0,1 0 0,0 1 0,-1 1 0,1 0 0,-1 0 0,0 0 0,-12-3 0,-35-8 0,38 9 0,1 1 0,0 1 0,-1 1 0,-29-3 0,9 6-1365,21 1-5461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5T20:16:01.20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40 96 24575,'0'4'0,"3"0"0,4 0 0,5 3 0,3-1 0,2 0 0,2-2 0,1-1 0,0-2 0,4 0 0,-3-1-8191</inkml:trace>
  <inkml:trace contextRef="#ctx0" brushRef="#br0" timeOffset="811.44">0 19 24575,'7'0'0,"12"0"0,5 0 0,6 0 0,1-3 0,-1-2 0,-3 1 0,-3 1 0,-2 1 0,-5 0-8191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5T20:16:08.527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6 1 24575,'-2'42'0,"0"-30"0,1 1 0,1-1 0,0 0 0,1 1 0,0-1 0,6 22 0,-6-32 0,1 0 0,-1 0 0,1 0 0,0 0 0,0 0 0,0 0 0,0 0 0,0-1 0,0 1 0,1-1 0,-1 0 0,0 1 0,1-1 0,-1 0 0,1 0 0,-1-1 0,1 1 0,0-1 0,-1 1 0,1-1 0,0 0 0,4 0 0,0 1 0,1-1 0,-1 0 0,1-1 0,0 1 0,-1-2 0,15-3 0,-18 4 0,0-1 0,-1 0 0,1 0 0,0 0 0,-1-1 0,0 1 0,1-1 0,-1 0 0,0 0 0,0 0 0,-1 0 0,1 0 0,-1-1 0,1 1 0,-1-1 0,0 0 0,0 1 0,1-7 0,0 0 0,0 1 0,-2 0 0,1-1 0,-1 1 0,0-1 0,-2-17 0,0 115 0,1 49 0,1-127-227,1 0-1,0 0 1,0 0-1,1 0 1,7 15-1,-4-15-6598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5T20:16:09.62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20 116 24575,'0'3'0,"3"1"0,5 0 0,4 0 0,3-2 0,5 0 0,4-2 0,0 1 0,-4-1-8191</inkml:trace>
  <inkml:trace contextRef="#ctx0" brushRef="#br0" timeOffset="469.82">0 0 24575,'4'0'0,"10"0"0,6 0 0,7 0 0,2 0 0,2 0 0,-1 0 0,-2 0 0,-5 0-8191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5T20:16:13.79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217 1 24575,'-10'0'0,"-1"0"0,1 1 0,-1 0 0,1 1 0,-1 0 0,1 0 0,-11 5 0,14-4 0,1 0 0,0 1 0,0 0 0,0 0 0,0 0 0,1 1 0,-1 0 0,1 0 0,0 0 0,1 0 0,-7 9 0,4-3 0,1-1 0,0 1 0,0-1 0,1 1 0,1 1 0,0-1 0,-4 17 0,7-22 0,0 0 0,0 1 0,1-1 0,0 0 0,0 0 0,0 1 0,1-1 0,0 0 0,0 0 0,0 0 0,1 1 0,0-1 0,0-1 0,1 1 0,0 0 0,4 6 0,-2-6 0,0 0 0,0 0 0,0 0 0,1-1 0,0 0 0,0 0 0,1-1 0,-1 1 0,1-1 0,0-1 0,0 1 0,0-1 0,1-1 0,-1 1 0,16 2 0,-11-3 0,-1 0 0,1-1 0,0-1 0,0 0 0,0 0 0,0-1 0,0-1 0,-1 0 0,22-6 0,-30 7 0,-1 0 0,0 0 0,0 0 0,0 0 0,0-1 0,0 1 0,0-1 0,0 1 0,-1-1 0,1 0 0,0 1 0,-1-1 0,0 0 0,1 0 0,-1 0 0,0 0 0,0 0 0,0 0 0,0-1 0,0 1 0,0 0 0,-1 0 0,1-1 0,-1 1 0,0 0 0,1-1 0,-1 1 0,0-1 0,-1 1 0,1 0 0,0-1 0,-1 1 0,1 0 0,-1-1 0,0 1 0,1 0 0,-1 0 0,0 0 0,0-1 0,-1 1 0,1 0 0,0 1 0,-1-1 0,1 0 0,-1 0 0,0 0 0,1 1 0,-1-1 0,0 1 0,0 0 0,0-1 0,0 1 0,0 0 0,-1 0 0,1 0 0,-3 0 0,-2-1 14,0 1-1,0 0 0,0 0 0,-1 1 1,1 0-1,0 0 0,0 0 1,-14 4-1,18-3-64,1-1 0,0 1-1,-1 0 1,1 0 0,0 1 0,0-1 0,0 0-1,0 1 1,0-1 0,0 1 0,0 0 0,0-1-1,1 1 1,-1 0 0,1 0 0,-1 0-1,1 0 1,0 1 0,0-1 0,0 0 0,0 0-1,0 1 1,0-1 0,1 1 0,-1-1 0,1 1-1,0-1 1,-1 4 0,1 10-6775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5T20:34:05.03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64 24575,'1'1'0,"-1"0"0,1-1 0,0 1 0,0-1 0,0 1 0,-1 0 0,1-1 0,0 0 0,0 1 0,0-1 0,0 1 0,0-1 0,0 0 0,0 0 0,1 1 0,2 0 0,43 13 0,1-2 0,0-2 0,1-3 0,0-1 0,71-1 0,128-6 0,-239 0 0,0 0 0,0 0 0,0-1 0,0 0 0,0-1 0,0 0 0,0 0 0,15-9 0,-15 8 0,52-22 0,-13 1 0,-28 16 0,-17 8 0,-1 0 0,1 1 0,0-2 0,-1 1 0,1 0 0,-1 0 0,0-1 0,1 1 0,-1-1 0,0 0 0,0 0 0,3-4 0,-4 6 0,-1 0 0,0 0 0,0 0 0,0-1 0,0 1 0,0 0 0,0 0 0,0 0 0,0 0 0,0-1 0,0 1 0,0 0 0,0 0 0,0 0 0,0 0 0,0-1 0,0 1 0,0 0 0,0 0 0,0 0 0,0-1 0,0 1 0,0 0 0,0 0 0,0 0 0,0 0 0,0-1 0,0 1 0,0 0 0,-1 0 0,1 0 0,0 0 0,0 0 0,0-1 0,-8-2 0,-10 1 0,17 2 0,-37 1 0,29-1 0,27 0 0,0 1 0,-1-1 0,23-2 0,-40 2 0,1-1 0,-1 1 0,1 0 0,0 0 0,-1 0 0,1 0 0,-1 0 0,1 0 0,-1 0 0,1 0 0,-1 0 0,1 0 0,-1 1 0,1-1 0,-1 0 0,1 0 0,-1 0 0,1 1 0,-1-1 0,1 0 0,-1 0 0,0 1 0,1-1 0,-1 0 0,1 1 0,-1-1 0,0 1 0,1-1 0,-1 0 0,0 1 0,1-1 0,-1 1 0,0-1 0,0 1 0,0-1 0,1 1 0,-1-1 0,0 1 0,0-1 0,0 1 0,0-1 0,0 1 0,0-1 0,0 1 0,0 1 0,-1 2 0,1 1 0,-1 0 0,-1 0 0,-1 6 0,0 0 0,-5 38-1365,6-40-5461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5T20:34:08.79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24575,'1'7'0,"1"0"0,0 0 0,1 0 0,0-1 0,0 1 0,0-1 0,1 1 0,-1-1 0,2 0 0,-1-1 0,7 8 0,-7-8 0,11 13 0,1 0 0,1-2 0,0 0 0,1 0 0,0-2 0,2 0 0,30 16 0,-20-15 0,-1-2 0,2-2 0,0 0 0,55 11 0,7-9 0,1-4 0,166-6 0,-227-3 0,4 0 0,0 0 0,0-1 0,0-1 0,56-12 0,-92 14 0,0 0 0,0-1 0,1 1 0,-1 0 0,0-1 0,0 1 0,0 0 0,0-1 0,1 0 0,-1 1 0,0-1 0,0 1 0,0-1 0,0 0 0,0 0 0,-1 0 0,1 0 0,0 0 0,0 0 0,0 0 0,-1 0 0,1 0 0,0-1 0,-1 1 0,0-1 0,0 1 0,0 0 0,0 0 0,0 0 0,-1-1 0,1 1 0,0 0 0,-1 0 0,1 0 0,-1 0 0,1 0 0,-1-1 0,0 1 0,1 0 0,-1 0 0,0 0 0,-1-1 0,-3-3 0,-1 0 0,1 0 0,-1 1 0,0-1 0,0 1 0,-10-4 0,-18-6 0,21 9 0,0 0 0,1-1 0,-22-13 0,30 14 0,12 4 0,13 5 0,28 9 0,-1 3 0,83 38 0,-130-53 0,0-1 0,0 1 0,0-1 0,0 1 0,1-1 0,-1 1 0,0 0 0,0 0 0,0 0 0,-1 0 0,1-1 0,0 1 0,0 0 0,0 1 0,-1-1 0,1 0 0,0 0 0,0 2 0,-1-2 0,0 0 0,0-1 0,0 1 0,-1 0 0,1 0 0,0-1 0,0 1 0,-1 0 0,1-1 0,0 1 0,-1 0 0,1-1 0,0 1 0,-1 0 0,1-1 0,-1 1 0,1-1 0,-1 1 0,0-1 0,1 1 0,-1-1 0,-1 1 0,-5 4 0,-1-2 0,-1 1 0,1-1 0,-10 3 0,10-4 0,-23 8 0,-54 25 0,75-30 0,0 1 0,0 0 0,1 1 0,0 0 0,0 0 0,1 1 0,-1 0 0,-12 17 0,-3 6-1365,18-22-5461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5T20:50:11.64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0 337 24575,'12'1'0,"-1"1"0,1 0 0,-1 1 0,1 0 0,-1 1 0,19 9 0,28 8 0,0-6 0,1-3 0,1-3 0,91 2 0,188-26 0,226-10 0,3 36 0,57 0 0,-611-12 0,-1-1 0,1 0 0,-1-1 0,22-7 0,33-6 0,70-2 0,0-6 0,-1-6 0,137-49 0,-241 69 0,41-7 0,-43 11 0,48-16 0,-64 16 0,0-1 0,-1-1 0,0 0 0,17-13 0,-30 20 0,-1 1 0,1-1 0,0 1 0,0-1 0,-1 1 0,1-1 0,-1 0 0,1 1 0,0-1 0,-1 0 0,1 0 0,-1 1 0,0-1 0,1 0 0,-1 0 0,0 0 0,1 0 0,-1 1 0,0-1 0,0 0 0,0 0 0,0 0 0,0 0 0,0 0 0,0 0 0,0 0 0,0-1 0,-1 0 0,0 0 0,0 0 0,0 1 0,0-1 0,0 0 0,-1 1 0,1-1 0,-1 1 0,1-1 0,-1 1 0,-3-2 0,-5-4 0,-1 1 0,0 0 0,-13-4 0,23 9 0,-52-15 0,43 14 0,0 0 0,0-1 0,0-1 0,0 0 0,-16-8 0,26 12 0,0 0 0,0 0 0,0 0 0,-1 0 0,1 0 0,0 0 0,0 0 0,0 0 0,-1-1 0,1 1 0,0 0 0,0 0 0,0 0 0,0 0 0,0 0 0,-1 0 0,1 0 0,0 0 0,0 0 0,0-1 0,0 1 0,0 0 0,-1 0 0,1 0 0,0 0 0,0 0 0,0-1 0,0 1 0,0 0 0,0 0 0,0 0 0,0 0 0,0-1 0,0 1 0,0 0 0,0 0 0,0 0 0,0-1 0,0 1 0,0 0 0,0 0 0,0 0 0,0 0 0,0-1 0,0 1 0,0 0 0,0 0 0,0 0 0,0 0 0,1-1 0,11 0 0,18 6 0,7 7 0,44 21 0,-67-26 0,0 1 0,0 0 0,0 1 0,-1 0 0,22 21 0,-29-25 0,0 1 0,1-2 0,-1 1 0,1-1 0,0 0 0,0 0 0,16 5 0,-23-9 0,0 0 0,0 0 0,1 0 0,-1 0 0,0 1 0,0-1 0,0 0 0,1 0 0,-1 0 0,0 0 0,0 0 0,0 0 0,0 0 0,1 1 0,-1-1 0,0 0 0,0 0 0,0 0 0,0 0 0,0 1 0,0-1 0,0 0 0,1 0 0,-1 0 0,0 0 0,0 1 0,0-1 0,0 0 0,0 0 0,0 1 0,0-1 0,0 0 0,0 0 0,0 0 0,0 1 0,0-1 0,0 0 0,0 0 0,0 0 0,0 1 0,-9 8 0,-22 9 0,22-14 0,-23 14-105,16-10-105,0 0 0,0 2 0,1 0 0,0 0 0,-23 24 0,24-17-6616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5T20:50:14.71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24575,'3'2'0,"0"0"0,0 0 0,1-1 0,-1 1 0,1-1 0,-1 1 0,1-1 0,0 0 0,-1 0 0,1-1 0,0 1 0,5-1 0,5 2 0,514 50 0,3-43 0,-512-9 0,1 1 0,0 1 0,-1 0 0,1 2 0,-1 0 0,34 14 0,8 2 0,1-3 0,0-2 0,1-3 0,0-2 0,1-4 0,120-3 0,-179-3 0,46-2 0,0 3 0,89 11 0,-55-1 0,-79-11 0,1 1 0,0-1 0,-1-1 0,1 1 0,-1-1 0,0 0 0,1-1 0,-1 1 0,0-1 0,11-5 0,-16 6 0,0 1 0,0-1 0,0 0 0,0 1 0,0-1 0,0 0 0,0 0 0,-1 1 0,1-1 0,0 0 0,-1 0 0,1 0 0,0 0 0,-1 0 0,1 0 0,-1 0 0,0 0 0,1 0 0,-1 0 0,0 0 0,1 0 0,-1 0 0,0 0 0,0 0 0,0-1 0,0 1 0,0-1 0,-1-1 0,0 1 0,0-1 0,0 1 0,0-1 0,0 1 0,-1-1 0,1 1 0,-1 0 0,1-1 0,-4-2 0,-3-3 0,-1 0 0,1 1 0,-1 0 0,-15-9 0,-100-51 0,146 80 0,1-1 0,0-2 0,1 0 0,36 11 0,-51-20 0,0 1 0,0-1 0,-1 1 0,0 0 0,1 1 0,-1 0 0,0 0 0,0 1 0,14 9 0,-22-13 0,0 1 0,1-1 0,-1 1 0,0 0 0,1-1 0,-1 1 0,0-1 0,0 1 0,1 0 0,-1-1 0,0 1 0,0 0 0,0-1 0,0 1 0,0 0 0,0-1 0,0 1 0,0-1 0,0 1 0,0 0 0,-1-1 0,1 1 0,0 0 0,0-1 0,0 1 0,-1-1 0,1 1 0,0 0 0,-1-1 0,1 1 0,-1-1 0,1 1 0,0-1 0,-1 1 0,-22 20 0,14-13 0,-51 61 120,54-60-332,0-1 0,0 1 0,1 0-1,0 0 1,1 0 0,-6 19 0,7-14-6614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5T20:53:45.15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1 390 24497,'5485'-308'0,"-5674"227"0,378 162 0,-368 22 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5T20:56:12.90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350 3 24575,'-47'-1'0,"24"0"0,1 0 0,-1 2 0,-26 4 0,42-4 0,1 1 0,0 0 0,-1 0 0,1 0 0,0 0 0,0 1 0,0 0 0,1 0 0,-1 1 0,1 0 0,0 0 0,0 0 0,0 0 0,0 1 0,-6 8 0,4-4 0,0 0 0,0 0 0,0 0 0,1 1 0,0 0 0,1 0 0,0 0 0,1 0 0,0 1 0,0 0 0,-2 13 0,-1 12 0,2-11 0,1 0 0,0 33 0,3-51 0,2 0 0,-1 0 0,1 0 0,0 0 0,1 0 0,-1 0 0,1 0 0,1 0 0,-1 0 0,1-1 0,0 0 0,8 11 0,2 2 0,1 0 0,0 0 0,1-1 0,21 20 0,-29-33 0,-1 0 0,1 0 0,0 0 0,1-1 0,-1 0 0,1 0 0,0-1 0,0 0 0,0 0 0,0-1 0,0 0 0,15 2 0,26-1 0,1-2 0,63-6 0,-99 2 0,0-1 0,0-1 0,0 0 0,0 0 0,-1-1 0,0-1 0,0 0 0,-1-1 0,22-18 0,-16 8 0,0-1 0,-1 0 0,0-1 0,-2-1 0,19-33 0,-10-1 0,-10 18 0,-11 31 0,-1 0 0,0-1 0,0 1 0,0-1 0,-1 0 0,0 1 0,0-1 0,-1 0 0,0-12 0,-1 16 0,1 0 0,-1 0 0,1-1 0,-1 1 0,0 0 0,0 0 0,0 0 0,-1 0 0,1 0 0,-1 0 0,1 1 0,-1-1 0,0 0 0,0 1 0,0-1 0,0 1 0,-1 0 0,1 0 0,-1 0 0,1 0 0,-7-3 0,-35-14 0,-2 1 0,-81-18 0,91 27-682,-54-7-1,73 15-6143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6-25T20:56:20.02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424 0 24575,'-2'5'0,"0"-1"0,0 0 0,0 0 0,-1 0 0,0 0 0,0-1 0,0 1 0,0-1 0,0 1 0,-1-1 0,0 0 0,-4 3 0,-7 7 0,-11 16 0,1 2 0,1 1 0,2 0 0,2 2 0,0 0 0,-21 55 0,2 15 0,-26 110 0,41-117 0,5 0 0,-8 114 0,12 199 0,15-372 0,1 0 0,2 0 0,2 0 0,1 0 0,17 55 0,-9-49 0,-7-19 0,1-1 0,2 1 0,14 27 0,28 39 0,121 159 0,-40-106 0,-120-132 0,2 0 0,0-1 0,23 13 0,23 18 0,-50-32 0,1-1 0,0-1 0,22 12 0,-29-18 0,0 0 0,0 0 0,0 0 0,0-1 0,0 0 0,0 0 0,0 0 0,0-1 0,0 1 0,0-1 0,0 0 0,1-1 0,8-1 0,2-1 0,-15 3 0,-1 0 0,0 0 0,0 0 0,0 0 0,0 0 0,0 1 0,0-1 0,0 0 0,0 0 0,0 0 0,0 0 0,0 0 0,1 0 0,-1 0 0,0 0 0,0 0 0,0 0 0,0 0 0,0 0 0,0 0 0,0 0 0,0 0 0,0 1 0,0-1 0,0 0 0,0 0 0,0 0 0,0 0 0,0 0 0,0 0 0,0 0 0,0 0 0,0 0 0,0 0 0,0 1 0,0-1 0,0 0 0,0 0 0,0 0 0,0 0 0,0 0 0,0 0 0,0 0 0,0 0 0,0 0 0,0 0 0,0 1 0,0-1 0,0 0 0,0 0 0,-1 0 0,1 0 0,0 0 0,0 0 0,0 0 0,0 0 0,0 0 0,0 0 0,0 0 0,0 0 0,0 0 0,0 0 0,0 0 0,-1 0 0,1 0 0,0 0 0,-26 17 0,12-8 0,-1 2 0,0 0 0,1 1 0,1 0 0,-12 15 0,16-17 0,7-6 0,-2 0 0,1 0 0,0 0 0,-1-1 0,1 0 0,-8 6 0,10-9 0,1 0 0,0 0 0,-1 0 0,1 0 0,-1 0 0,1 0 0,0 0 0,-1 0 0,1-1 0,0 1 0,-1 0 0,1 0 0,0 0 0,-1 0 0,1-1 0,0 1 0,-1 0 0,1 0 0,0-1 0,-1 1 0,1 0 0,0 0 0,0-1 0,-1 1 0,1 0 0,0-1 0,0 1 0,0 0 0,0-1 0,-1 1 0,1-1 0,0 1 0,0 0 0,0-1 0,0 1 0,0 0 0,0-1 0,0 1 0,0-1 0,0 1 0,0 0 0,0-1 0,0 1 0,0 0 0,1-1 0,-1 1 0,0-1 0,0 1 0,2-22 0,1 11 0,-1 1 0,2 0 0,-1 1 0,2-1 0,-1 1 0,11-16 0,-14 23 0,0-1 0,1 1 0,-1 0 0,1 0 0,-1 0 0,1 1 0,0-1 0,-1 0 0,1 1 0,0-1 0,0 1 0,0-1 0,0 1 0,1 0 0,-1 0 0,0 0 0,0 0 0,1 0 0,-1 1 0,1-1 0,-1 1 0,1-1 0,-1 1 0,0 0 0,1 0 0,-1 0 0,1 0 0,-1 0 0,1 1 0,-1-1 0,1 1 0,-1 0 0,3 1 0,17 11 0,-1 1 0,0 1 0,-2 1 0,27 26 0,-20-17 0,-25-25 0,-1 0 0,1 0 0,-1 0 0,1 1 0,-1-1 0,0 0 0,1 1 0,-1-1 0,1 0 0,-1 1 0,0-1 0,1 1 0,-1-1 0,0 0 0,0 1 0,1-1 0,-1 1 0,0-1 0,0 1 0,0-1 0,0 1 0,1-1 0,-1 1 0,0-1 0,0 1 0,0-1 0,0 1 0,0-1 0,0 1 0,0-1 0,-1 1 0,1 0 0,-16 3 0,-24-8 0,-41-16 4,49 10-460,-1 2-1,-54-7 1,75 15-6370</inkml:trace>
</inkml: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DDC2C-B15E-4A84-AA9D-7E9E61D5610D}">
  <dimension ref="A1:K31"/>
  <sheetViews>
    <sheetView showGridLines="0" tabSelected="1" topLeftCell="A5" zoomScale="219" zoomScaleNormal="110" workbookViewId="0">
      <selection activeCell="C8" sqref="C8"/>
    </sheetView>
  </sheetViews>
  <sheetFormatPr defaultColWidth="11.5546875" defaultRowHeight="14.4" x14ac:dyDescent="0.3"/>
  <cols>
    <col min="1" max="1" width="111" customWidth="1"/>
    <col min="3" max="3" width="9.109375" bestFit="1" customWidth="1"/>
    <col min="4" max="4" width="3.44140625" bestFit="1" customWidth="1"/>
    <col min="5" max="8" width="7.109375" style="2" bestFit="1" customWidth="1"/>
    <col min="9" max="9" width="0" hidden="1" customWidth="1"/>
    <col min="10" max="10" width="4" bestFit="1" customWidth="1"/>
  </cols>
  <sheetData>
    <row r="1" spans="1:11" ht="100.8" x14ac:dyDescent="0.3">
      <c r="A1" s="1" t="s">
        <v>0</v>
      </c>
    </row>
    <row r="2" spans="1:11" x14ac:dyDescent="0.3">
      <c r="G2" s="2" t="s">
        <v>14</v>
      </c>
    </row>
    <row r="4" spans="1:11" x14ac:dyDescent="0.3">
      <c r="B4" s="2" t="s">
        <v>12</v>
      </c>
      <c r="C4" s="2"/>
    </row>
    <row r="5" spans="1:11" x14ac:dyDescent="0.3">
      <c r="B5" s="4" t="s">
        <v>1</v>
      </c>
      <c r="C5" s="5">
        <v>4</v>
      </c>
    </row>
    <row r="6" spans="1:11" x14ac:dyDescent="0.3">
      <c r="B6" s="4" t="s">
        <v>2</v>
      </c>
      <c r="C6" s="5">
        <v>6</v>
      </c>
    </row>
    <row r="7" spans="1:11" x14ac:dyDescent="0.3">
      <c r="B7" t="s">
        <v>13</v>
      </c>
    </row>
    <row r="8" spans="1:11" ht="15" thickBot="1" x14ac:dyDescent="0.35"/>
    <row r="9" spans="1:11" ht="15" thickBot="1" x14ac:dyDescent="0.35">
      <c r="A9" s="13" t="s">
        <v>15</v>
      </c>
      <c r="B9" s="3">
        <f>1/(1+($C$5/$C$6)+(($C$5/$C$6)^2)+(($C$5/$C$6)^3))</f>
        <v>0.41538461538461546</v>
      </c>
      <c r="D9" s="6" t="s">
        <v>4</v>
      </c>
      <c r="E9" s="6">
        <v>0</v>
      </c>
      <c r="F9" s="6">
        <v>1</v>
      </c>
      <c r="G9" s="6">
        <v>2</v>
      </c>
      <c r="H9" s="6">
        <v>3</v>
      </c>
    </row>
    <row r="10" spans="1:11" x14ac:dyDescent="0.3">
      <c r="A10" t="s">
        <v>22</v>
      </c>
      <c r="B10" s="2"/>
      <c r="D10" s="7">
        <v>0</v>
      </c>
      <c r="E10" s="14">
        <v>-4</v>
      </c>
      <c r="F10" s="14">
        <v>4</v>
      </c>
      <c r="G10" s="14">
        <v>0</v>
      </c>
      <c r="H10" s="14">
        <v>0</v>
      </c>
    </row>
    <row r="11" spans="1:11" x14ac:dyDescent="0.3">
      <c r="B11" s="2"/>
      <c r="D11" s="7">
        <v>1</v>
      </c>
      <c r="E11" s="14">
        <v>6</v>
      </c>
      <c r="F11" s="14">
        <f>-(E11+G11)</f>
        <v>-10</v>
      </c>
      <c r="G11" s="14">
        <v>4</v>
      </c>
      <c r="H11" s="14">
        <v>0</v>
      </c>
      <c r="K11" s="7" t="s">
        <v>16</v>
      </c>
    </row>
    <row r="12" spans="1:11" x14ac:dyDescent="0.3">
      <c r="B12" s="2"/>
      <c r="D12" s="7">
        <v>2</v>
      </c>
      <c r="E12" s="14">
        <v>0</v>
      </c>
      <c r="F12" s="14">
        <v>6</v>
      </c>
      <c r="G12" s="14">
        <f>-(F12+H12)</f>
        <v>-10</v>
      </c>
      <c r="H12" s="14">
        <v>4</v>
      </c>
      <c r="K12" t="s">
        <v>17</v>
      </c>
    </row>
    <row r="13" spans="1:11" ht="15" thickBot="1" x14ac:dyDescent="0.35">
      <c r="B13" s="2"/>
      <c r="D13" s="7">
        <v>3</v>
      </c>
      <c r="E13" s="14">
        <v>0</v>
      </c>
      <c r="F13" s="14">
        <v>0</v>
      </c>
      <c r="G13" s="14">
        <v>6</v>
      </c>
      <c r="H13" s="14">
        <v>-6</v>
      </c>
      <c r="K13" t="s">
        <v>18</v>
      </c>
    </row>
    <row r="14" spans="1:11" ht="15" thickBot="1" x14ac:dyDescent="0.35">
      <c r="B14" s="3">
        <f>+B9*($C$5/$C$6)</f>
        <v>0.27692307692307694</v>
      </c>
    </row>
    <row r="15" spans="1:11" ht="15" thickBot="1" x14ac:dyDescent="0.35">
      <c r="B15" s="2"/>
      <c r="D15" s="6" t="s">
        <v>6</v>
      </c>
      <c r="E15" s="6">
        <v>0</v>
      </c>
      <c r="F15" s="6">
        <v>1</v>
      </c>
      <c r="G15" s="6">
        <v>2</v>
      </c>
      <c r="H15" s="6">
        <v>3</v>
      </c>
    </row>
    <row r="16" spans="1:11" ht="15" thickBot="1" x14ac:dyDescent="0.35">
      <c r="A16" t="s">
        <v>24</v>
      </c>
      <c r="B16" s="3">
        <f>+B14*($C$5/$C$6)</f>
        <v>0.18461538461538463</v>
      </c>
      <c r="D16" s="7">
        <v>0</v>
      </c>
      <c r="E16" s="2">
        <v>-4</v>
      </c>
      <c r="F16" s="2">
        <v>4</v>
      </c>
      <c r="G16" s="2">
        <v>0</v>
      </c>
      <c r="H16" s="2">
        <v>1</v>
      </c>
    </row>
    <row r="17" spans="1:11" ht="15" thickBot="1" x14ac:dyDescent="0.35">
      <c r="B17" s="2"/>
      <c r="D17" s="7">
        <v>1</v>
      </c>
      <c r="E17" s="2">
        <v>6</v>
      </c>
      <c r="F17" s="2">
        <v>-10</v>
      </c>
      <c r="G17" s="2">
        <v>4</v>
      </c>
      <c r="H17" s="2">
        <v>1</v>
      </c>
    </row>
    <row r="18" spans="1:11" ht="15" thickBot="1" x14ac:dyDescent="0.35">
      <c r="B18" s="3">
        <f>+B16*($C$5/$C$6)</f>
        <v>0.12307692307692308</v>
      </c>
      <c r="D18" s="7">
        <v>2</v>
      </c>
      <c r="E18" s="2">
        <v>0</v>
      </c>
      <c r="F18" s="2">
        <v>6</v>
      </c>
      <c r="G18" s="2">
        <v>-10</v>
      </c>
      <c r="H18" s="2">
        <v>1</v>
      </c>
      <c r="K18" t="s">
        <v>19</v>
      </c>
    </row>
    <row r="19" spans="1:11" x14ac:dyDescent="0.3">
      <c r="A19" t="s">
        <v>23</v>
      </c>
      <c r="D19" s="7">
        <v>3</v>
      </c>
      <c r="E19" s="2">
        <v>0</v>
      </c>
      <c r="F19" s="2">
        <v>0</v>
      </c>
      <c r="G19" s="2">
        <v>6</v>
      </c>
      <c r="H19" s="2">
        <v>1</v>
      </c>
    </row>
    <row r="20" spans="1:11" x14ac:dyDescent="0.3">
      <c r="B20" s="2">
        <f>+B18+B16+B14+B9</f>
        <v>1</v>
      </c>
    </row>
    <row r="21" spans="1:11" x14ac:dyDescent="0.3">
      <c r="A21" t="s">
        <v>21</v>
      </c>
    </row>
    <row r="22" spans="1:11" ht="16.2" x14ac:dyDescent="0.3">
      <c r="D22" s="6" t="s">
        <v>5</v>
      </c>
      <c r="E22" s="6">
        <v>0</v>
      </c>
      <c r="F22" s="6">
        <v>1</v>
      </c>
      <c r="G22" s="6">
        <v>2</v>
      </c>
      <c r="H22" s="6">
        <v>3</v>
      </c>
    </row>
    <row r="23" spans="1:11" ht="15" thickBot="1" x14ac:dyDescent="0.35">
      <c r="D23" s="7">
        <v>0</v>
      </c>
      <c r="E23" s="8" cm="1">
        <f t="array" ref="E23:H26">+MINVERSE(E16:H19)</f>
        <v>-0.33076923076923082</v>
      </c>
      <c r="F23" s="8">
        <v>-5.3846153846153856E-2</v>
      </c>
      <c r="G23" s="8">
        <v>0.13076923076923075</v>
      </c>
      <c r="H23" s="8">
        <v>0.25384615384615383</v>
      </c>
    </row>
    <row r="24" spans="1:11" ht="15" thickBot="1" x14ac:dyDescent="0.35">
      <c r="A24" t="s">
        <v>20</v>
      </c>
      <c r="B24" s="3">
        <f>+(0*B9)+(1*B14)+(2*B16)+(3*B18)</f>
        <v>1.0153846153846153</v>
      </c>
      <c r="C24" t="s">
        <v>3</v>
      </c>
      <c r="D24" s="7">
        <v>1</v>
      </c>
      <c r="E24" s="8">
        <v>-0.18461538461538465</v>
      </c>
      <c r="F24" s="8">
        <v>-0.12307692307692308</v>
      </c>
      <c r="G24" s="8">
        <v>8.4615384615384606E-2</v>
      </c>
      <c r="H24" s="8">
        <v>0.22307692307692309</v>
      </c>
      <c r="K24" t="s">
        <v>25</v>
      </c>
    </row>
    <row r="25" spans="1:11" x14ac:dyDescent="0.3">
      <c r="B25">
        <v>4</v>
      </c>
      <c r="D25" s="7">
        <v>2</v>
      </c>
      <c r="E25" s="8">
        <v>-6.9230769230769248E-2</v>
      </c>
      <c r="F25" s="8">
        <v>-4.6153846153846156E-2</v>
      </c>
      <c r="G25" s="8">
        <v>-3.0769230769230771E-2</v>
      </c>
      <c r="H25" s="8">
        <v>0.14615384615384616</v>
      </c>
    </row>
    <row r="26" spans="1:11" x14ac:dyDescent="0.3">
      <c r="D26" s="7">
        <v>3</v>
      </c>
      <c r="E26" s="9">
        <v>0.41538461538461546</v>
      </c>
      <c r="F26" s="9">
        <v>0.27692307692307694</v>
      </c>
      <c r="G26" s="9">
        <v>0.18461538461538463</v>
      </c>
      <c r="H26" s="9">
        <v>0.12307692307692307</v>
      </c>
    </row>
    <row r="27" spans="1:11" ht="45.75" customHeight="1" x14ac:dyDescent="0.3">
      <c r="A27" s="10" t="s">
        <v>7</v>
      </c>
    </row>
    <row r="28" spans="1:11" ht="28.8" x14ac:dyDescent="0.3">
      <c r="A28" s="11" t="s">
        <v>8</v>
      </c>
    </row>
    <row r="29" spans="1:11" x14ac:dyDescent="0.3">
      <c r="A29" s="12" t="s">
        <v>9</v>
      </c>
    </row>
    <row r="30" spans="1:11" x14ac:dyDescent="0.3">
      <c r="A30" s="12" t="s">
        <v>10</v>
      </c>
    </row>
    <row r="31" spans="1:11" x14ac:dyDescent="0.3">
      <c r="A31" s="7" t="s">
        <v>11</v>
      </c>
    </row>
  </sheetData>
  <pageMargins left="0.7" right="0.7" top="0.75" bottom="0.75" header="0.3" footer="0.3"/>
  <pageSetup paperSize="9" orientation="portrait" r:id="rId1"/>
  <headerFooter>
    <oddHeader>&amp;R&amp;"Calibri"&amp;10&amp;K000000 Documento: Personal&amp;1#_x000D_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Ejemplo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BENEVENIA, FLORENCIA</dc:creator>
  <cp:lastModifiedBy>Uriel Villalonga</cp:lastModifiedBy>
  <dcterms:created xsi:type="dcterms:W3CDTF">2024-04-12T21:23:53Z</dcterms:created>
  <dcterms:modified xsi:type="dcterms:W3CDTF">2026-04-18T14:01:06Z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28ef38c-4357-49c8-b2ae-c9cdaf411188_Enabled">
    <vt:lpwstr>true</vt:lpwstr>
  </property>
  <property fmtid="{D5CDD505-2E9C-101B-9397-08002B2CF9AE}" pid="3" name="MSIP_Label_228ef38c-4357-49c8-b2ae-c9cdaf411188_SetDate">
    <vt:lpwstr>2024-04-12T21:34:07Z</vt:lpwstr>
  </property>
  <property fmtid="{D5CDD505-2E9C-101B-9397-08002B2CF9AE}" pid="4" name="MSIP_Label_228ef38c-4357-49c8-b2ae-c9cdaf411188_Method">
    <vt:lpwstr>Privileged</vt:lpwstr>
  </property>
  <property fmtid="{D5CDD505-2E9C-101B-9397-08002B2CF9AE}" pid="5" name="MSIP_Label_228ef38c-4357-49c8-b2ae-c9cdaf411188_Name">
    <vt:lpwstr>Personal</vt:lpwstr>
  </property>
  <property fmtid="{D5CDD505-2E9C-101B-9397-08002B2CF9AE}" pid="6" name="MSIP_Label_228ef38c-4357-49c8-b2ae-c9cdaf411188_SiteId">
    <vt:lpwstr>038018c3-616c-4b46-ad9b-aa9007f701b5</vt:lpwstr>
  </property>
  <property fmtid="{D5CDD505-2E9C-101B-9397-08002B2CF9AE}" pid="7" name="MSIP_Label_228ef38c-4357-49c8-b2ae-c9cdaf411188_ActionId">
    <vt:lpwstr>4db44416-4e1a-4012-92da-75c82cbce4ef</vt:lpwstr>
  </property>
  <property fmtid="{D5CDD505-2E9C-101B-9397-08002B2CF9AE}" pid="8" name="MSIP_Label_228ef38c-4357-49c8-b2ae-c9cdaf411188_ContentBits">
    <vt:lpwstr>1</vt:lpwstr>
  </property>
</Properties>
</file>