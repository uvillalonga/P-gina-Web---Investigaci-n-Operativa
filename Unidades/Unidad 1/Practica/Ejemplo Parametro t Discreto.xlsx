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161ea31542415b/4to Año/Invest Op/Unidad 1/Practica/"/>
    </mc:Choice>
  </mc:AlternateContent>
  <xr:revisionPtr revIDLastSave="406" documentId="13_ncr:1_{AEAFE937-875C-4DC2-B0D0-A712D2E3F82C}" xr6:coauthVersionLast="47" xr6:coauthVersionMax="47" xr10:uidLastSave="{A9E49667-1C20-473F-82C7-404C86229A63}"/>
  <bookViews>
    <workbookView xWindow="-108" yWindow="-108" windowWidth="23256" windowHeight="12456" xr2:uid="{99F76963-1926-4121-B475-C4048C9CFB45}"/>
  </bookViews>
  <sheets>
    <sheet name="Ejemp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 a="1"/>
  <c r="C42" i="1" s="1"/>
  <c r="C16" i="1" a="1"/>
  <c r="C16" i="1" s="1"/>
  <c r="C20" i="1" s="1" a="1"/>
  <c r="C20" i="1" s="1"/>
  <c r="C24" i="1" s="1" a="1"/>
  <c r="C24" i="1" s="1"/>
  <c r="C145" i="1" a="1"/>
  <c r="C145" i="1" s="1"/>
  <c r="C139" i="1" a="1"/>
  <c r="C139" i="1" s="1"/>
  <c r="C136" i="1"/>
  <c r="C135" i="1"/>
  <c r="D132" i="1"/>
  <c r="C132" i="1"/>
  <c r="D131" i="1"/>
  <c r="C131" i="1"/>
  <c r="C32" i="1" a="1"/>
  <c r="C32" i="1" s="1"/>
  <c r="C50" i="1" l="1"/>
  <c r="D38" i="1"/>
  <c r="D51" i="1"/>
  <c r="C39" i="1"/>
  <c r="D50" i="1"/>
  <c r="D39" i="1"/>
  <c r="C38" i="1"/>
  <c r="C51" i="1"/>
  <c r="D55" i="1" l="1"/>
  <c r="D56" i="1"/>
  <c r="C56" i="1"/>
  <c r="C55" i="1"/>
  <c r="C46" i="1" a="1"/>
  <c r="C46" i="1" s="1"/>
  <c r="C59" i="1" l="1" a="1"/>
  <c r="C59" i="1" s="1"/>
  <c r="C68" i="1" s="1" a="1"/>
  <c r="C68" i="1" s="1"/>
  <c r="C72" i="1" s="1" a="1"/>
  <c r="C7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<sst xmlns="http://schemas.openxmlformats.org/spreadsheetml/2006/main" count="103" uniqueCount="32">
  <si>
    <t>La empresa de comida rápida mas importante del mundo Duck Donald (D) decide contratar a un Analista en Investigación en Operaciones, para analizar como se comporta el mercado respecto a su actividad y la de su principal competidor Burguer Queen(B). El analista sostiene que dicho comportamiento se puede modelar a través de un cadena de Markov incluyendo dos estados D y B, que representan a los clientes que eligen la comida de las marcas mencionadas. Con los datos registrados el analista determino la siguiente matriz de transición:</t>
  </si>
  <si>
    <r>
      <t>Pv(3) = Pv(0) * P</t>
    </r>
    <r>
      <rPr>
        <vertAlign val="superscript"/>
        <sz val="11"/>
        <color rgb="FF000000"/>
        <rFont val="Calibri"/>
      </rPr>
      <t>3</t>
    </r>
  </si>
  <si>
    <r>
      <t>P</t>
    </r>
    <r>
      <rPr>
        <vertAlign val="superscript"/>
        <sz val="11"/>
        <color rgb="FF000000"/>
        <rFont val="Calibri"/>
      </rPr>
      <t>3</t>
    </r>
    <r>
      <rPr>
        <sz val="11"/>
        <color rgb="FF000000"/>
        <rFont val="Calibri"/>
        <family val="2"/>
      </rPr>
      <t>=</t>
    </r>
  </si>
  <si>
    <r>
      <t>P</t>
    </r>
    <r>
      <rPr>
        <vertAlign val="superscript"/>
        <sz val="11"/>
        <color rgb="FF000000"/>
        <rFont val="Calibri"/>
      </rPr>
      <t>1</t>
    </r>
    <r>
      <rPr>
        <sz val="11"/>
        <color rgb="FF000000"/>
        <rFont val="Calibri"/>
        <family val="2"/>
      </rPr>
      <t>=</t>
    </r>
  </si>
  <si>
    <t>D</t>
  </si>
  <si>
    <t>B</t>
  </si>
  <si>
    <r>
      <t>P</t>
    </r>
    <r>
      <rPr>
        <vertAlign val="superscript"/>
        <sz val="11"/>
        <color rgb="FF000000"/>
        <rFont val="Calibri"/>
      </rPr>
      <t>2</t>
    </r>
    <r>
      <rPr>
        <sz val="11"/>
        <color rgb="FF000000"/>
        <rFont val="Calibri"/>
        <family val="2"/>
      </rPr>
      <t>=</t>
    </r>
  </si>
  <si>
    <t>Pv(3) =</t>
  </si>
  <si>
    <t>P0</t>
  </si>
  <si>
    <r>
      <t>P</t>
    </r>
    <r>
      <rPr>
        <b/>
        <vertAlign val="superscript"/>
        <sz val="11"/>
        <color rgb="FF000000"/>
        <rFont val="Calibri"/>
        <family val="2"/>
      </rPr>
      <t>3</t>
    </r>
    <r>
      <rPr>
        <b/>
        <sz val="11"/>
        <color rgb="FF000000"/>
        <rFont val="Calibri"/>
        <family val="2"/>
      </rPr>
      <t>=</t>
    </r>
  </si>
  <si>
    <t>a) ¿Cuál será la distribución del mercado en 3 compras?</t>
  </si>
  <si>
    <t>b) Si una persona actualmente consume B. ¿Cuál es la probabilidad de que consuma D pasadas dos compras a partir de hoy?</t>
  </si>
  <si>
    <t>c) A cuatro compras a partir de ahora ¿Qué fracción de los compradores estarán comprando D? y B?</t>
  </si>
  <si>
    <r>
      <t>Pv(4) = Pv(0) * P</t>
    </r>
    <r>
      <rPr>
        <vertAlign val="superscript"/>
        <sz val="11"/>
        <color rgb="FF000000"/>
        <rFont val="Calibri"/>
      </rPr>
      <t>4</t>
    </r>
  </si>
  <si>
    <r>
      <t>P</t>
    </r>
    <r>
      <rPr>
        <b/>
        <vertAlign val="superscript"/>
        <sz val="11"/>
        <color rgb="FF000000"/>
        <rFont val="Calibri"/>
        <family val="2"/>
      </rPr>
      <t>4</t>
    </r>
    <r>
      <rPr>
        <b/>
        <sz val="11"/>
        <color rgb="FF000000"/>
        <rFont val="Calibri"/>
        <family val="2"/>
      </rPr>
      <t>=</t>
    </r>
  </si>
  <si>
    <t>Pv(4) =</t>
  </si>
  <si>
    <t>d) Si en la actualidad una persona compra D ¿Cuál es la probabilidad de que compre B pasadas 3 compras a partir de ahora?</t>
  </si>
  <si>
    <r>
      <t>P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>=</t>
    </r>
  </si>
  <si>
    <t>e) Si hoy el consumidor compra B. ¿Cuál es la probabilidad que vuelva a comprar B al cabo de 5 compras?</t>
  </si>
  <si>
    <r>
      <t>P</t>
    </r>
    <r>
      <rPr>
        <vertAlign val="superscript"/>
        <sz val="11"/>
        <color rgb="FF000000"/>
        <rFont val="Calibri"/>
      </rPr>
      <t>4</t>
    </r>
    <r>
      <rPr>
        <sz val="11"/>
        <color rgb="FF000000"/>
        <rFont val="Calibri"/>
        <family val="2"/>
      </rPr>
      <t>=</t>
    </r>
  </si>
  <si>
    <r>
      <t>P</t>
    </r>
    <r>
      <rPr>
        <vertAlign val="superscript"/>
        <sz val="11"/>
        <color rgb="FF000000"/>
        <rFont val="Calibri"/>
        <family val="2"/>
      </rPr>
      <t>5</t>
    </r>
    <r>
      <rPr>
        <sz val="11"/>
        <color rgb="FF000000"/>
        <rFont val="Calibri"/>
        <family val="2"/>
      </rPr>
      <t>=</t>
    </r>
  </si>
  <si>
    <t>f) Cuales son los porcentajes de mercado en el estado estable para las 2 compañías? Determínelo por 4 métodos diferentes.</t>
  </si>
  <si>
    <r>
      <t>P</t>
    </r>
    <r>
      <rPr>
        <vertAlign val="superscript"/>
        <sz val="11"/>
        <color rgb="FF000000"/>
        <rFont val="Calibri"/>
        <family val="2"/>
      </rPr>
      <t>10</t>
    </r>
    <r>
      <rPr>
        <sz val="11"/>
        <color rgb="FF000000"/>
        <rFont val="Calibri"/>
        <family val="2"/>
      </rPr>
      <t>=</t>
    </r>
  </si>
  <si>
    <r>
      <rPr>
        <b/>
        <sz val="11"/>
        <color rgb="FF000000"/>
        <rFont val="Calibri"/>
        <family val="2"/>
      </rPr>
      <t>Pve</t>
    </r>
    <r>
      <rPr>
        <sz val="11"/>
        <color rgb="FF000000"/>
        <rFont val="Calibri"/>
        <family val="2"/>
      </rPr>
      <t xml:space="preserve"> = P</t>
    </r>
    <r>
      <rPr>
        <vertAlign val="superscript"/>
        <sz val="11"/>
        <color rgb="FF000000"/>
        <rFont val="Calibri"/>
        <family val="2"/>
      </rPr>
      <t>20</t>
    </r>
    <r>
      <rPr>
        <sz val="11"/>
        <color rgb="FF000000"/>
        <rFont val="Calibri"/>
        <family val="2"/>
      </rPr>
      <t>=</t>
    </r>
  </si>
  <si>
    <r>
      <t>P</t>
    </r>
    <r>
      <rPr>
        <vertAlign val="superscript"/>
        <sz val="11"/>
        <color rgb="FF000000"/>
        <rFont val="Calibri"/>
      </rPr>
      <t>1</t>
    </r>
    <r>
      <rPr>
        <sz val="11"/>
        <color rgb="FF000000"/>
        <rFont val="Calibri"/>
        <family val="2"/>
      </rPr>
      <t>-I=</t>
    </r>
  </si>
  <si>
    <t>A=</t>
  </si>
  <si>
    <r>
      <t>A</t>
    </r>
    <r>
      <rPr>
        <vertAlign val="superscript"/>
        <sz val="11"/>
        <color rgb="FF000000"/>
        <rFont val="Calibri"/>
      </rPr>
      <t>-1</t>
    </r>
    <r>
      <rPr>
        <sz val="11"/>
        <color rgb="FF000000"/>
        <rFont val="Calibri"/>
        <family val="2"/>
      </rPr>
      <t>=</t>
    </r>
  </si>
  <si>
    <t>B=</t>
  </si>
  <si>
    <t xml:space="preserve">Vector Inicial </t>
  </si>
  <si>
    <t>Po = Po* P</t>
  </si>
  <si>
    <t xml:space="preserve">Donde Po es el vector estacionario </t>
  </si>
  <si>
    <t xml:space="preserve">Po me determina la porcion de mercado de cada una de las companias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</si>
</sst>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</font>
    <font>
      <vertAlign val="superscript"/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vertAlign val="superscript"/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vertAlign val="superscript"/>
      <sz val="11"/>
      <color rgb="FF000000"/>
      <name val="Calibri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 wrapText="1" readingOrder="1"/>
    </xf>
    <xf numFmtId="0" fontId="5" fillId="0" borderId="0" xfId="0" applyFont="1" applyAlignment="1">
      <alignment horizontal="right" wrapText="1" readingOrder="1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6" fillId="0" borderId="0" xfId="0" applyFont="1" applyAlignment="1">
      <alignment horizontal="right" wrapText="1" readingOrder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8" fillId="0" borderId="0" xfId="0" applyFont="1" applyAlignment="1">
      <alignment horizontal="right" vertical="center" indent="2"/>
    </xf>
    <xf numFmtId="0" fontId="8" fillId="0" borderId="0" xfId="0" applyFont="1" applyAlignment="1">
      <alignment horizontal="right" vertical="center" wrapText="1" indent="2"/>
    </xf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164" fontId="0" fillId="2" borderId="0" xfId="0" applyNumberFormat="1" applyFill="1" applyAlignment="1">
      <alignment horizontal="center"/>
    </xf>
    <xf numFmtId="0" fontId="10" fillId="0" borderId="0" xfId="0" applyFont="1" applyAlignment="1">
      <alignment horizontal="right" vertical="center" readingOrder="1"/>
    </xf>
    <xf numFmtId="165" fontId="0" fillId="2" borderId="0" xfId="0" applyNumberForma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680357</xdr:colOff>
      <xdr:row>1</xdr:row>
      <xdr:rowOff>68035</xdr:rowOff>
    </xdr:from>
    <xdr:to>
      <xdr:col>0</xdr:col>
      <xdr:colOff>5389453</xdr:colOff>
      <xdr:row>7</xdr:row>
      <xdr:rowOff>96982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B0433B2D-EB36-8EF5-8094-DCAAF21AA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0357" y="1020535"/>
          <a:ext cx="4709096" cy="11719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5701392</xdr:colOff>
      <xdr:row>1</xdr:row>
      <xdr:rowOff>81644</xdr:rowOff>
    </xdr:from>
    <xdr:to>
      <xdr:col>0</xdr:col>
      <xdr:colOff>6633955</xdr:colOff>
      <xdr:row>2</xdr:row>
      <xdr:rowOff>52727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8">
              <a:extLst>
                <a:ext uri="{FF2B5EF4-FFF2-40B4-BE49-F238E27FC236}">
                  <a16:creationId xmlns:a16="http://schemas.microsoft.com/office/drawing/2014/main" id="{9413ABA3-C728-4698-921D-546550A44B35}"/>
                </a:ext>
              </a:extLst>
            </xdr:cNvPr>
            <xdr:cNvSpPr txBox="1"/>
          </xdr:nvSpPr>
          <xdr:spPr>
            <a:xfrm>
              <a:off x="5701392" y="1034144"/>
              <a:ext cx="932563" cy="16158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s-AR" sz="1050"/>
                <a:t>Pv(0) = </a:t>
              </a:r>
              <a14:m>
                <m:oMath xmlns:m="http://schemas.openxmlformats.org/officeDocument/2006/math">
                  <m:d>
                    <m:dPr>
                      <m:endChr m:val=""/>
                      <m:ctrlPr>
                        <a:rPr lang="es-AR" sz="105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ES" sz="1050" b="0" i="1">
                          <a:latin typeface="Cambria Math" panose="02040503050406030204" pitchFamily="18" charset="0"/>
                        </a:rPr>
                        <m:t>0,6</m:t>
                      </m:r>
                    </m:e>
                  </m:d>
                  <m:r>
                    <a:rPr lang="es-ES" sz="1050" b="0" i="1">
                      <a:latin typeface="Cambria Math" panose="02040503050406030204" pitchFamily="18" charset="0"/>
                    </a:rPr>
                    <m:t>  </m:t>
                  </m:r>
                  <m:d>
                    <m:dPr>
                      <m:begChr m:val=""/>
                      <m:ctrlPr>
                        <a:rPr lang="es-AR" sz="105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ES" sz="1050" b="0" i="1">
                          <a:latin typeface="Cambria Math" panose="02040503050406030204" pitchFamily="18" charset="0"/>
                        </a:rPr>
                        <m:t>0,4</m:t>
                      </m:r>
                    </m:e>
                  </m:d>
                </m:oMath>
              </a14:m>
              <a:endParaRPr lang="es-AR" sz="1050"/>
            </a:p>
          </xdr:txBody>
        </xdr:sp>
      </mc:Choice>
      <mc:Fallback xmlns="">
        <xdr:sp macro="" textlink="">
          <xdr:nvSpPr>
            <xdr:cNvPr id="14" name="CuadroTexto 8">
              <a:extLst>
                <a:ext uri="{FF2B5EF4-FFF2-40B4-BE49-F238E27FC236}">
                  <a16:creationId xmlns:a16="http://schemas.microsoft.com/office/drawing/2014/main" id="{9413ABA3-C728-4698-921D-546550A44B35}"/>
                </a:ext>
              </a:extLst>
            </xdr:cNvPr>
            <xdr:cNvSpPr txBox="1"/>
          </xdr:nvSpPr>
          <xdr:spPr>
            <a:xfrm>
              <a:off x="5701392" y="1034144"/>
              <a:ext cx="932563" cy="16158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s-AR" sz="1050"/>
                <a:t>Pv(0) = </a:t>
              </a:r>
              <a:r>
                <a:rPr lang="es-AR" sz="1050" i="0">
                  <a:latin typeface="Cambria Math" panose="02040503050406030204" pitchFamily="18" charset="0"/>
                </a:rPr>
                <a:t>(</a:t>
              </a:r>
              <a:r>
                <a:rPr lang="es-ES" sz="1050" b="0" i="0">
                  <a:latin typeface="Cambria Math" panose="02040503050406030204" pitchFamily="18" charset="0"/>
                </a:rPr>
                <a:t>0,6┤   </a:t>
              </a:r>
              <a:r>
                <a:rPr lang="es-AR" sz="1050" i="0">
                  <a:latin typeface="Cambria Math" panose="02040503050406030204" pitchFamily="18" charset="0"/>
                </a:rPr>
                <a:t>├ </a:t>
              </a:r>
              <a:r>
                <a:rPr lang="es-ES" sz="1050" b="0" i="0">
                  <a:latin typeface="Cambria Math" panose="02040503050406030204" pitchFamily="18" charset="0"/>
                </a:rPr>
                <a:t>0,4)</a:t>
              </a:r>
              <a:endParaRPr lang="es-AR" sz="1050"/>
            </a:p>
          </xdr:txBody>
        </xdr:sp>
      </mc:Fallback>
    </mc:AlternateContent>
    <xdr:clientData/>
  </xdr:twoCellAnchor>
  <xdr:twoCellAnchor editAs="oneCell">
    <xdr:from>
      <xdr:col>0</xdr:col>
      <xdr:colOff>5510893</xdr:colOff>
      <xdr:row>2</xdr:row>
      <xdr:rowOff>163286</xdr:rowOff>
    </xdr:from>
    <xdr:to>
      <xdr:col>0</xdr:col>
      <xdr:colOff>6720568</xdr:colOff>
      <xdr:row>5</xdr:row>
      <xdr:rowOff>172811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5AEBBF2C-1A47-14B2-B3D5-C133C81BF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510893" y="1306286"/>
          <a:ext cx="1209675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190500</xdr:colOff>
      <xdr:row>11</xdr:row>
      <xdr:rowOff>57150</xdr:rowOff>
    </xdr:from>
    <xdr:to>
      <xdr:col>4</xdr:col>
      <xdr:colOff>47625</xdr:colOff>
      <xdr:row>12</xdr:row>
      <xdr:rowOff>171450</xdr:rowOff>
    </xdr:to>
    <xdr:sp macro="" textlink="">
      <xdr:nvSpPr>
        <xdr:cNvPr id="17" name="Corchetes 16">
          <a:extLst>
            <a:ext uri="{FF2B5EF4-FFF2-40B4-BE49-F238E27FC236}">
              <a16:creationId xmlns:a16="http://schemas.microsoft.com/office/drawing/2014/main" id="{65ECB8EE-51BB-4E42-71EF-E06BA9413664}"/>
            </a:ext>
          </a:extLst>
        </xdr:cNvPr>
        <xdr:cNvSpPr/>
      </xdr:nvSpPr>
      <xdr:spPr>
        <a:xfrm>
          <a:off x="7591425" y="3133725"/>
          <a:ext cx="714375" cy="33337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190500</xdr:colOff>
      <xdr:row>15</xdr:row>
      <xdr:rowOff>57150</xdr:rowOff>
    </xdr:from>
    <xdr:to>
      <xdr:col>4</xdr:col>
      <xdr:colOff>47625</xdr:colOff>
      <xdr:row>16</xdr:row>
      <xdr:rowOff>171450</xdr:rowOff>
    </xdr:to>
    <xdr:sp macro="" textlink="">
      <xdr:nvSpPr>
        <xdr:cNvPr id="18" name="Corchetes 17">
          <a:extLst>
            <a:ext uri="{FF2B5EF4-FFF2-40B4-BE49-F238E27FC236}">
              <a16:creationId xmlns:a16="http://schemas.microsoft.com/office/drawing/2014/main" id="{4353C632-5799-4B2F-8394-0FC5A262AFA9}"/>
            </a:ext>
          </a:extLst>
        </xdr:cNvPr>
        <xdr:cNvSpPr/>
      </xdr:nvSpPr>
      <xdr:spPr>
        <a:xfrm>
          <a:off x="7591425" y="3133725"/>
          <a:ext cx="714375" cy="33337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190500</xdr:colOff>
      <xdr:row>19</xdr:row>
      <xdr:rowOff>57150</xdr:rowOff>
    </xdr:from>
    <xdr:to>
      <xdr:col>4</xdr:col>
      <xdr:colOff>47625</xdr:colOff>
      <xdr:row>20</xdr:row>
      <xdr:rowOff>171450</xdr:rowOff>
    </xdr:to>
    <xdr:sp macro="" textlink="">
      <xdr:nvSpPr>
        <xdr:cNvPr id="19" name="Corchetes 18">
          <a:extLst>
            <a:ext uri="{FF2B5EF4-FFF2-40B4-BE49-F238E27FC236}">
              <a16:creationId xmlns:a16="http://schemas.microsoft.com/office/drawing/2014/main" id="{110D0662-1725-4740-8C11-6A09517B5A70}"/>
            </a:ext>
          </a:extLst>
        </xdr:cNvPr>
        <xdr:cNvSpPr/>
      </xdr:nvSpPr>
      <xdr:spPr>
        <a:xfrm>
          <a:off x="7591425" y="3924300"/>
          <a:ext cx="714375" cy="33337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219076</xdr:colOff>
      <xdr:row>1</xdr:row>
      <xdr:rowOff>1</xdr:rowOff>
    </xdr:from>
    <xdr:to>
      <xdr:col>4</xdr:col>
      <xdr:colOff>28576</xdr:colOff>
      <xdr:row>2</xdr:row>
      <xdr:rowOff>38101</xdr:rowOff>
    </xdr:to>
    <xdr:sp macro="" textlink="">
      <xdr:nvSpPr>
        <xdr:cNvPr id="20" name="Corchetes 19">
          <a:extLst>
            <a:ext uri="{FF2B5EF4-FFF2-40B4-BE49-F238E27FC236}">
              <a16:creationId xmlns:a16="http://schemas.microsoft.com/office/drawing/2014/main" id="{E3E0146E-DB3B-4404-9566-FF3969017447}"/>
            </a:ext>
          </a:extLst>
        </xdr:cNvPr>
        <xdr:cNvSpPr/>
      </xdr:nvSpPr>
      <xdr:spPr>
        <a:xfrm>
          <a:off x="7620001" y="952501"/>
          <a:ext cx="666750" cy="228600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209550</xdr:colOff>
      <xdr:row>23</xdr:row>
      <xdr:rowOff>0</xdr:rowOff>
    </xdr:from>
    <xdr:to>
      <xdr:col>4</xdr:col>
      <xdr:colOff>19050</xdr:colOff>
      <xdr:row>24</xdr:row>
      <xdr:rowOff>38100</xdr:rowOff>
    </xdr:to>
    <xdr:sp macro="" textlink="">
      <xdr:nvSpPr>
        <xdr:cNvPr id="21" name="Corchetes 20">
          <a:extLst>
            <a:ext uri="{FF2B5EF4-FFF2-40B4-BE49-F238E27FC236}">
              <a16:creationId xmlns:a16="http://schemas.microsoft.com/office/drawing/2014/main" id="{E4ADCC9D-A75D-4A3D-A3D7-FEEC6E92CB9A}"/>
            </a:ext>
          </a:extLst>
        </xdr:cNvPr>
        <xdr:cNvSpPr/>
      </xdr:nvSpPr>
      <xdr:spPr>
        <a:xfrm>
          <a:off x="7610475" y="5448300"/>
          <a:ext cx="971550" cy="228600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6210300</xdr:colOff>
      <xdr:row>22</xdr:row>
      <xdr:rowOff>47625</xdr:rowOff>
    </xdr:from>
    <xdr:to>
      <xdr:col>0</xdr:col>
      <xdr:colOff>6930949</xdr:colOff>
      <xdr:row>24</xdr:row>
      <xdr:rowOff>87766</xdr:rowOff>
    </xdr:to>
    <xdr:sp macro="" textlink="">
      <xdr:nvSpPr>
        <xdr:cNvPr id="22" name="CuadroTexto 7">
          <a:extLst>
            <a:ext uri="{FF2B5EF4-FFF2-40B4-BE49-F238E27FC236}">
              <a16:creationId xmlns:a16="http://schemas.microsoft.com/office/drawing/2014/main" id="{8D225047-4FA4-4D4D-BBB0-300B5DC82A11}"/>
            </a:ext>
          </a:extLst>
        </xdr:cNvPr>
        <xdr:cNvSpPr txBox="1"/>
      </xdr:nvSpPr>
      <xdr:spPr>
        <a:xfrm>
          <a:off x="6210300" y="5305425"/>
          <a:ext cx="720649" cy="4211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txBody>
        <a:bodyPr wrap="square" rtlCol="0">
          <a:spAutoFit/>
        </a:bodyPr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 sz="1050" b="1"/>
            <a:t>P</a:t>
          </a:r>
          <a:r>
            <a:rPr lang="es-ES" sz="1050" b="1" baseline="-25000"/>
            <a:t>D</a:t>
          </a:r>
          <a:r>
            <a:rPr lang="es-ES" sz="1050" b="1"/>
            <a:t>=46,8%</a:t>
          </a:r>
        </a:p>
        <a:p>
          <a:r>
            <a:rPr lang="es-AR" sz="1050" b="1"/>
            <a:t>P</a:t>
          </a:r>
          <a:r>
            <a:rPr lang="es-AR" sz="1050" b="1" baseline="-25000"/>
            <a:t>B</a:t>
          </a:r>
          <a:r>
            <a:rPr lang="es-AR" sz="1050" b="1"/>
            <a:t>=53,2%</a:t>
          </a:r>
        </a:p>
      </xdr:txBody>
    </xdr:sp>
    <xdr:clientData/>
  </xdr:twoCellAnchor>
  <xdr:twoCellAnchor>
    <xdr:from>
      <xdr:col>1</xdr:col>
      <xdr:colOff>190500</xdr:colOff>
      <xdr:row>27</xdr:row>
      <xdr:rowOff>57150</xdr:rowOff>
    </xdr:from>
    <xdr:to>
      <xdr:col>4</xdr:col>
      <xdr:colOff>47625</xdr:colOff>
      <xdr:row>28</xdr:row>
      <xdr:rowOff>171450</xdr:rowOff>
    </xdr:to>
    <xdr:sp macro="" textlink="">
      <xdr:nvSpPr>
        <xdr:cNvPr id="27" name="Corchetes 26">
          <a:extLst>
            <a:ext uri="{FF2B5EF4-FFF2-40B4-BE49-F238E27FC236}">
              <a16:creationId xmlns:a16="http://schemas.microsoft.com/office/drawing/2014/main" id="{5D83DA4A-0BA3-4943-8426-5CEFD96B4A75}"/>
            </a:ext>
          </a:extLst>
        </xdr:cNvPr>
        <xdr:cNvSpPr/>
      </xdr:nvSpPr>
      <xdr:spPr>
        <a:xfrm>
          <a:off x="7591425" y="2952750"/>
          <a:ext cx="1019175" cy="33337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190500</xdr:colOff>
      <xdr:row>31</xdr:row>
      <xdr:rowOff>57150</xdr:rowOff>
    </xdr:from>
    <xdr:to>
      <xdr:col>4</xdr:col>
      <xdr:colOff>47625</xdr:colOff>
      <xdr:row>32</xdr:row>
      <xdr:rowOff>171450</xdr:rowOff>
    </xdr:to>
    <xdr:sp macro="" textlink="">
      <xdr:nvSpPr>
        <xdr:cNvPr id="28" name="Corchetes 27">
          <a:extLst>
            <a:ext uri="{FF2B5EF4-FFF2-40B4-BE49-F238E27FC236}">
              <a16:creationId xmlns:a16="http://schemas.microsoft.com/office/drawing/2014/main" id="{8AFA4EC9-3EE7-4522-B21F-9165D3EF943F}"/>
            </a:ext>
          </a:extLst>
        </xdr:cNvPr>
        <xdr:cNvSpPr/>
      </xdr:nvSpPr>
      <xdr:spPr>
        <a:xfrm>
          <a:off x="7591425" y="3743325"/>
          <a:ext cx="1019175" cy="33337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6286500</xdr:colOff>
      <xdr:row>31</xdr:row>
      <xdr:rowOff>19050</xdr:rowOff>
    </xdr:from>
    <xdr:to>
      <xdr:col>0</xdr:col>
      <xdr:colOff>7125191</xdr:colOff>
      <xdr:row>32</xdr:row>
      <xdr:rowOff>53891</xdr:rowOff>
    </xdr:to>
    <xdr:sp macro="" textlink="">
      <xdr:nvSpPr>
        <xdr:cNvPr id="30" name="CuadroTexto 30">
          <a:extLst>
            <a:ext uri="{FF2B5EF4-FFF2-40B4-BE49-F238E27FC236}">
              <a16:creationId xmlns:a16="http://schemas.microsoft.com/office/drawing/2014/main" id="{092DC4C0-B60C-4F5A-BBB5-7C84B87DD01F}"/>
            </a:ext>
          </a:extLst>
        </xdr:cNvPr>
        <xdr:cNvSpPr txBox="1"/>
      </xdr:nvSpPr>
      <xdr:spPr>
        <a:xfrm>
          <a:off x="6286500" y="7048500"/>
          <a:ext cx="838691" cy="25391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txBody>
        <a:bodyPr wrap="square" rtlCol="0">
          <a:spAutoFit/>
        </a:bodyPr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 sz="1050" b="1"/>
            <a:t>P</a:t>
          </a:r>
          <a:r>
            <a:rPr lang="es-ES" sz="1050" b="1" baseline="-25000"/>
            <a:t>BD</a:t>
          </a:r>
          <a:r>
            <a:rPr lang="es-ES" sz="1050" b="1"/>
            <a:t>=36,25%</a:t>
          </a:r>
        </a:p>
      </xdr:txBody>
    </xdr:sp>
    <xdr:clientData/>
  </xdr:twoCellAnchor>
  <xdr:twoCellAnchor>
    <xdr:from>
      <xdr:col>1</xdr:col>
      <xdr:colOff>190500</xdr:colOff>
      <xdr:row>37</xdr:row>
      <xdr:rowOff>57150</xdr:rowOff>
    </xdr:from>
    <xdr:to>
      <xdr:col>4</xdr:col>
      <xdr:colOff>47625</xdr:colOff>
      <xdr:row>38</xdr:row>
      <xdr:rowOff>171450</xdr:rowOff>
    </xdr:to>
    <xdr:sp macro="" textlink="">
      <xdr:nvSpPr>
        <xdr:cNvPr id="32" name="Corchetes 31">
          <a:extLst>
            <a:ext uri="{FF2B5EF4-FFF2-40B4-BE49-F238E27FC236}">
              <a16:creationId xmlns:a16="http://schemas.microsoft.com/office/drawing/2014/main" id="{5288D64D-65C8-4A1E-8C74-D2F03D1926AD}"/>
            </a:ext>
          </a:extLst>
        </xdr:cNvPr>
        <xdr:cNvSpPr/>
      </xdr:nvSpPr>
      <xdr:spPr>
        <a:xfrm>
          <a:off x="7591425" y="3743325"/>
          <a:ext cx="1019175" cy="33337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190500</xdr:colOff>
      <xdr:row>41</xdr:row>
      <xdr:rowOff>57150</xdr:rowOff>
    </xdr:from>
    <xdr:to>
      <xdr:col>4</xdr:col>
      <xdr:colOff>47625</xdr:colOff>
      <xdr:row>42</xdr:row>
      <xdr:rowOff>171450</xdr:rowOff>
    </xdr:to>
    <xdr:sp macro="" textlink="">
      <xdr:nvSpPr>
        <xdr:cNvPr id="33" name="Corchetes 32">
          <a:extLst>
            <a:ext uri="{FF2B5EF4-FFF2-40B4-BE49-F238E27FC236}">
              <a16:creationId xmlns:a16="http://schemas.microsoft.com/office/drawing/2014/main" id="{2E3CD2AE-3466-4373-9461-A313A818DBC5}"/>
            </a:ext>
          </a:extLst>
        </xdr:cNvPr>
        <xdr:cNvSpPr/>
      </xdr:nvSpPr>
      <xdr:spPr>
        <a:xfrm>
          <a:off x="7591425" y="4533900"/>
          <a:ext cx="1019175" cy="33337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209550</xdr:colOff>
      <xdr:row>45</xdr:row>
      <xdr:rowOff>0</xdr:rowOff>
    </xdr:from>
    <xdr:to>
      <xdr:col>4</xdr:col>
      <xdr:colOff>19050</xdr:colOff>
      <xdr:row>46</xdr:row>
      <xdr:rowOff>38100</xdr:rowOff>
    </xdr:to>
    <xdr:sp macro="" textlink="">
      <xdr:nvSpPr>
        <xdr:cNvPr id="34" name="Corchetes 33">
          <a:extLst>
            <a:ext uri="{FF2B5EF4-FFF2-40B4-BE49-F238E27FC236}">
              <a16:creationId xmlns:a16="http://schemas.microsoft.com/office/drawing/2014/main" id="{04D1FB53-F361-42E3-8645-47BD3C354ED6}"/>
            </a:ext>
          </a:extLst>
        </xdr:cNvPr>
        <xdr:cNvSpPr/>
      </xdr:nvSpPr>
      <xdr:spPr>
        <a:xfrm>
          <a:off x="7610475" y="5267325"/>
          <a:ext cx="971550" cy="228600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6210300</xdr:colOff>
      <xdr:row>44</xdr:row>
      <xdr:rowOff>47625</xdr:rowOff>
    </xdr:from>
    <xdr:to>
      <xdr:col>0</xdr:col>
      <xdr:colOff>6930949</xdr:colOff>
      <xdr:row>46</xdr:row>
      <xdr:rowOff>87766</xdr:rowOff>
    </xdr:to>
    <xdr:sp macro="" textlink="">
      <xdr:nvSpPr>
        <xdr:cNvPr id="35" name="CuadroTexto 7">
          <a:extLst>
            <a:ext uri="{FF2B5EF4-FFF2-40B4-BE49-F238E27FC236}">
              <a16:creationId xmlns:a16="http://schemas.microsoft.com/office/drawing/2014/main" id="{C41B794B-CF42-4F6F-8DF9-A99520066210}"/>
            </a:ext>
          </a:extLst>
        </xdr:cNvPr>
        <xdr:cNvSpPr txBox="1"/>
      </xdr:nvSpPr>
      <xdr:spPr>
        <a:xfrm>
          <a:off x="6210300" y="5124450"/>
          <a:ext cx="720649" cy="4211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txBody>
        <a:bodyPr wrap="square" rtlCol="0">
          <a:spAutoFit/>
        </a:bodyPr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 sz="1050" b="1"/>
            <a:t>P</a:t>
          </a:r>
          <a:r>
            <a:rPr lang="es-ES" sz="1050" b="1" baseline="-25000"/>
            <a:t>D</a:t>
          </a:r>
          <a:r>
            <a:rPr lang="es-ES" sz="1050" b="1"/>
            <a:t>=46,1%</a:t>
          </a:r>
        </a:p>
        <a:p>
          <a:r>
            <a:rPr lang="es-AR" sz="1050" b="1"/>
            <a:t>P</a:t>
          </a:r>
          <a:r>
            <a:rPr lang="es-AR" sz="1050" b="1" baseline="-25000"/>
            <a:t>B</a:t>
          </a:r>
          <a:r>
            <a:rPr lang="es-AR" sz="1050" b="1"/>
            <a:t>=53,9%</a:t>
          </a:r>
        </a:p>
      </xdr:txBody>
    </xdr:sp>
    <xdr:clientData/>
  </xdr:twoCellAnchor>
  <xdr:twoCellAnchor>
    <xdr:from>
      <xdr:col>1</xdr:col>
      <xdr:colOff>190500</xdr:colOff>
      <xdr:row>49</xdr:row>
      <xdr:rowOff>57150</xdr:rowOff>
    </xdr:from>
    <xdr:to>
      <xdr:col>4</xdr:col>
      <xdr:colOff>47625</xdr:colOff>
      <xdr:row>50</xdr:row>
      <xdr:rowOff>171450</xdr:rowOff>
    </xdr:to>
    <xdr:sp macro="" textlink="">
      <xdr:nvSpPr>
        <xdr:cNvPr id="37" name="Corchetes 36">
          <a:extLst>
            <a:ext uri="{FF2B5EF4-FFF2-40B4-BE49-F238E27FC236}">
              <a16:creationId xmlns:a16="http://schemas.microsoft.com/office/drawing/2014/main" id="{95AD4859-F50C-4377-A182-7FB74328EDB0}"/>
            </a:ext>
          </a:extLst>
        </xdr:cNvPr>
        <xdr:cNvSpPr/>
      </xdr:nvSpPr>
      <xdr:spPr>
        <a:xfrm>
          <a:off x="7591425" y="4533900"/>
          <a:ext cx="1019175" cy="33337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6391275</xdr:colOff>
      <xdr:row>49</xdr:row>
      <xdr:rowOff>66675</xdr:rowOff>
    </xdr:from>
    <xdr:to>
      <xdr:col>0</xdr:col>
      <xdr:colOff>7161038</xdr:colOff>
      <xdr:row>50</xdr:row>
      <xdr:rowOff>101516</xdr:rowOff>
    </xdr:to>
    <xdr:sp macro="" textlink="">
      <xdr:nvSpPr>
        <xdr:cNvPr id="38" name="CuadroTexto 50">
          <a:extLst>
            <a:ext uri="{FF2B5EF4-FFF2-40B4-BE49-F238E27FC236}">
              <a16:creationId xmlns:a16="http://schemas.microsoft.com/office/drawing/2014/main" id="{E41FF82E-A7BA-47D2-A3B4-78344BCF3DEA}"/>
            </a:ext>
          </a:extLst>
        </xdr:cNvPr>
        <xdr:cNvSpPr txBox="1"/>
      </xdr:nvSpPr>
      <xdr:spPr>
        <a:xfrm>
          <a:off x="6391275" y="10648950"/>
          <a:ext cx="769763" cy="25391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txBody>
        <a:bodyPr wrap="square" rtlCol="0">
          <a:spAutoFit/>
        </a:bodyPr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 sz="1050" b="1"/>
            <a:t>P</a:t>
          </a:r>
          <a:r>
            <a:rPr lang="es-ES" sz="1050" b="1" baseline="-25000"/>
            <a:t>DB</a:t>
          </a:r>
          <a:r>
            <a:rPr lang="es-ES" sz="1050" b="1"/>
            <a:t>=49,6%</a:t>
          </a:r>
        </a:p>
      </xdr:txBody>
    </xdr:sp>
    <xdr:clientData/>
  </xdr:twoCellAnchor>
  <xdr:twoCellAnchor>
    <xdr:from>
      <xdr:col>1</xdr:col>
      <xdr:colOff>190500</xdr:colOff>
      <xdr:row>54</xdr:row>
      <xdr:rowOff>57150</xdr:rowOff>
    </xdr:from>
    <xdr:to>
      <xdr:col>4</xdr:col>
      <xdr:colOff>47625</xdr:colOff>
      <xdr:row>55</xdr:row>
      <xdr:rowOff>171450</xdr:rowOff>
    </xdr:to>
    <xdr:sp macro="" textlink="">
      <xdr:nvSpPr>
        <xdr:cNvPr id="39" name="Corchetes 38">
          <a:extLst>
            <a:ext uri="{FF2B5EF4-FFF2-40B4-BE49-F238E27FC236}">
              <a16:creationId xmlns:a16="http://schemas.microsoft.com/office/drawing/2014/main" id="{2EAC28DB-1086-46C9-9BAC-EB360E7A6BBA}"/>
            </a:ext>
          </a:extLst>
        </xdr:cNvPr>
        <xdr:cNvSpPr/>
      </xdr:nvSpPr>
      <xdr:spPr>
        <a:xfrm>
          <a:off x="7591425" y="8296275"/>
          <a:ext cx="1019175" cy="33337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190500</xdr:colOff>
      <xdr:row>58</xdr:row>
      <xdr:rowOff>57150</xdr:rowOff>
    </xdr:from>
    <xdr:to>
      <xdr:col>4</xdr:col>
      <xdr:colOff>47625</xdr:colOff>
      <xdr:row>59</xdr:row>
      <xdr:rowOff>171450</xdr:rowOff>
    </xdr:to>
    <xdr:sp macro="" textlink="">
      <xdr:nvSpPr>
        <xdr:cNvPr id="40" name="Corchetes 39">
          <a:extLst>
            <a:ext uri="{FF2B5EF4-FFF2-40B4-BE49-F238E27FC236}">
              <a16:creationId xmlns:a16="http://schemas.microsoft.com/office/drawing/2014/main" id="{C262E7C4-5855-4CEA-B45C-C6F336963B4B}"/>
            </a:ext>
          </a:extLst>
        </xdr:cNvPr>
        <xdr:cNvSpPr/>
      </xdr:nvSpPr>
      <xdr:spPr>
        <a:xfrm>
          <a:off x="7591425" y="9086850"/>
          <a:ext cx="1019175" cy="33337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6391275</xdr:colOff>
      <xdr:row>58</xdr:row>
      <xdr:rowOff>85725</xdr:rowOff>
    </xdr:from>
    <xdr:to>
      <xdr:col>0</xdr:col>
      <xdr:colOff>7154626</xdr:colOff>
      <xdr:row>59</xdr:row>
      <xdr:rowOff>120566</xdr:rowOff>
    </xdr:to>
    <xdr:sp macro="" textlink="">
      <xdr:nvSpPr>
        <xdr:cNvPr id="41" name="CuadroTexto 56">
          <a:extLst>
            <a:ext uri="{FF2B5EF4-FFF2-40B4-BE49-F238E27FC236}">
              <a16:creationId xmlns:a16="http://schemas.microsoft.com/office/drawing/2014/main" id="{0C0B3514-D72A-4968-9844-E2F39F1D328B}"/>
            </a:ext>
          </a:extLst>
        </xdr:cNvPr>
        <xdr:cNvSpPr txBox="1"/>
      </xdr:nvSpPr>
      <xdr:spPr>
        <a:xfrm>
          <a:off x="6391275" y="12449175"/>
          <a:ext cx="763351" cy="25391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txBody>
        <a:bodyPr wrap="square" rtlCol="0">
          <a:spAutoFit/>
        </a:bodyPr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 sz="1050" b="1"/>
            <a:t>P</a:t>
          </a:r>
          <a:r>
            <a:rPr lang="es-ES" sz="1050" b="1" baseline="-25000"/>
            <a:t>BB</a:t>
          </a:r>
          <a:r>
            <a:rPr lang="es-ES" sz="1050" b="1"/>
            <a:t>=55,4%</a:t>
          </a:r>
        </a:p>
      </xdr:txBody>
    </xdr:sp>
    <xdr:clientData/>
  </xdr:twoCellAnchor>
  <xdr:twoCellAnchor editAs="oneCell">
    <xdr:from>
      <xdr:col>0</xdr:col>
      <xdr:colOff>5324475</xdr:colOff>
      <xdr:row>62</xdr:row>
      <xdr:rowOff>28575</xdr:rowOff>
    </xdr:from>
    <xdr:to>
      <xdr:col>0</xdr:col>
      <xdr:colOff>6943725</xdr:colOff>
      <xdr:row>65</xdr:row>
      <xdr:rowOff>106906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44A2EC22-E976-6825-F4E7-49EF719E8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24475" y="13182600"/>
          <a:ext cx="1619250" cy="649831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67</xdr:row>
      <xdr:rowOff>57150</xdr:rowOff>
    </xdr:from>
    <xdr:to>
      <xdr:col>4</xdr:col>
      <xdr:colOff>47625</xdr:colOff>
      <xdr:row>68</xdr:row>
      <xdr:rowOff>171450</xdr:rowOff>
    </xdr:to>
    <xdr:sp macro="" textlink="">
      <xdr:nvSpPr>
        <xdr:cNvPr id="43" name="Corchetes 42">
          <a:extLst>
            <a:ext uri="{FF2B5EF4-FFF2-40B4-BE49-F238E27FC236}">
              <a16:creationId xmlns:a16="http://schemas.microsoft.com/office/drawing/2014/main" id="{A49B0029-ACE4-400E-8B67-C74BCE601B3B}"/>
            </a:ext>
          </a:extLst>
        </xdr:cNvPr>
        <xdr:cNvSpPr/>
      </xdr:nvSpPr>
      <xdr:spPr>
        <a:xfrm>
          <a:off x="7591425" y="12420600"/>
          <a:ext cx="1019175" cy="33337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190500</xdr:colOff>
      <xdr:row>71</xdr:row>
      <xdr:rowOff>57150</xdr:rowOff>
    </xdr:from>
    <xdr:to>
      <xdr:col>4</xdr:col>
      <xdr:colOff>47625</xdr:colOff>
      <xdr:row>72</xdr:row>
      <xdr:rowOff>171450</xdr:rowOff>
    </xdr:to>
    <xdr:sp macro="" textlink="">
      <xdr:nvSpPr>
        <xdr:cNvPr id="46" name="Corchetes 45">
          <a:extLst>
            <a:ext uri="{FF2B5EF4-FFF2-40B4-BE49-F238E27FC236}">
              <a16:creationId xmlns:a16="http://schemas.microsoft.com/office/drawing/2014/main" id="{24A4667C-86F2-42D9-960C-072C8084DE4F}"/>
            </a:ext>
          </a:extLst>
        </xdr:cNvPr>
        <xdr:cNvSpPr/>
      </xdr:nvSpPr>
      <xdr:spPr>
        <a:xfrm>
          <a:off x="7591425" y="14163675"/>
          <a:ext cx="1019175" cy="33337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3705225</xdr:colOff>
      <xdr:row>74</xdr:row>
      <xdr:rowOff>38100</xdr:rowOff>
    </xdr:from>
    <xdr:to>
      <xdr:col>0</xdr:col>
      <xdr:colOff>5200650</xdr:colOff>
      <xdr:row>79</xdr:row>
      <xdr:rowOff>93505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83FA7861-731C-CC14-8E37-980C2CDB0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15535275"/>
          <a:ext cx="1495425" cy="1007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3114675</xdr:colOff>
      <xdr:row>79</xdr:row>
      <xdr:rowOff>114300</xdr:rowOff>
    </xdr:from>
    <xdr:to>
      <xdr:col>0</xdr:col>
      <xdr:colOff>5686425</xdr:colOff>
      <xdr:row>85</xdr:row>
      <xdr:rowOff>84258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86D76152-48ED-1ACE-DDE8-F338A6773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14675" y="16563975"/>
          <a:ext cx="2571750" cy="1112958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2476501</xdr:colOff>
      <xdr:row>85</xdr:row>
      <xdr:rowOff>104774</xdr:rowOff>
    </xdr:from>
    <xdr:to>
      <xdr:col>0</xdr:col>
      <xdr:colOff>6533669</xdr:colOff>
      <xdr:row>101</xdr:row>
      <xdr:rowOff>132797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164DDA5B-119B-30A2-A646-C5D14D83B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76501" y="17697449"/>
          <a:ext cx="4057168" cy="3076023"/>
        </a:xfrm>
        <a:prstGeom prst="rect">
          <a:avLst/>
        </a:prstGeom>
      </xdr:spPr>
    </xdr:pic>
    <xdr:clientData/>
  </xdr:twoCellAnchor>
  <xdr:twoCellAnchor editAs="oneCell">
    <xdr:from>
      <xdr:col>0</xdr:col>
      <xdr:colOff>1000125</xdr:colOff>
      <xdr:row>103</xdr:row>
      <xdr:rowOff>1</xdr:rowOff>
    </xdr:from>
    <xdr:to>
      <xdr:col>0</xdr:col>
      <xdr:colOff>3248025</xdr:colOff>
      <xdr:row>109</xdr:row>
      <xdr:rowOff>93635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20CC21EF-B501-042E-5543-05DB1B58F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0125" y="21021676"/>
          <a:ext cx="2247900" cy="1236634"/>
        </a:xfrm>
        <a:prstGeom prst="rect">
          <a:avLst/>
        </a:prstGeom>
      </xdr:spPr>
    </xdr:pic>
    <xdr:clientData/>
  </xdr:twoCellAnchor>
  <xdr:twoCellAnchor editAs="oneCell">
    <xdr:from>
      <xdr:col>0</xdr:col>
      <xdr:colOff>3267075</xdr:colOff>
      <xdr:row>103</xdr:row>
      <xdr:rowOff>104776</xdr:rowOff>
    </xdr:from>
    <xdr:to>
      <xdr:col>0</xdr:col>
      <xdr:colOff>6363419</xdr:colOff>
      <xdr:row>108</xdr:row>
      <xdr:rowOff>160390</xdr:rowOff>
    </xdr:to>
    <xdr:pic>
      <xdr:nvPicPr>
        <xdr:cNvPr id="55" name="Picture 1">
          <a:extLst>
            <a:ext uri="{FF2B5EF4-FFF2-40B4-BE49-F238E27FC236}">
              <a16:creationId xmlns:a16="http://schemas.microsoft.com/office/drawing/2014/main" id="{63BD3786-62A0-4F54-9D3C-F8DACCABAD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l="1529" t="13980" r="32719"/>
        <a:stretch/>
      </xdr:blipFill>
      <xdr:spPr bwMode="auto">
        <a:xfrm>
          <a:off x="3267075" y="21126451"/>
          <a:ext cx="3096344" cy="10081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2143126</xdr:colOff>
      <xdr:row>109</xdr:row>
      <xdr:rowOff>123825</xdr:rowOff>
    </xdr:from>
    <xdr:to>
      <xdr:col>0</xdr:col>
      <xdr:colOff>5153026</xdr:colOff>
      <xdr:row>115</xdr:row>
      <xdr:rowOff>126763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2A992C63-D6FF-87FF-FCF9-29A5EC1E2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43126" y="22288500"/>
          <a:ext cx="3009900" cy="1145938"/>
        </a:xfrm>
        <a:prstGeom prst="rect">
          <a:avLst/>
        </a:prstGeom>
      </xdr:spPr>
    </xdr:pic>
    <xdr:clientData/>
  </xdr:twoCellAnchor>
  <xdr:twoCellAnchor editAs="oneCell">
    <xdr:from>
      <xdr:col>0</xdr:col>
      <xdr:colOff>1409700</xdr:colOff>
      <xdr:row>116</xdr:row>
      <xdr:rowOff>9524</xdr:rowOff>
    </xdr:from>
    <xdr:to>
      <xdr:col>0</xdr:col>
      <xdr:colOff>5687003</xdr:colOff>
      <xdr:row>121</xdr:row>
      <xdr:rowOff>133161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C83EA65F-8BC1-D77B-B439-B668952FF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09700" y="23507699"/>
          <a:ext cx="4277303" cy="1076137"/>
        </a:xfrm>
        <a:prstGeom prst="rect">
          <a:avLst/>
        </a:prstGeom>
      </xdr:spPr>
    </xdr:pic>
    <xdr:clientData/>
  </xdr:twoCellAnchor>
  <xdr:twoCellAnchor editAs="oneCell">
    <xdr:from>
      <xdr:col>0</xdr:col>
      <xdr:colOff>5324475</xdr:colOff>
      <xdr:row>121</xdr:row>
      <xdr:rowOff>180975</xdr:rowOff>
    </xdr:from>
    <xdr:to>
      <xdr:col>0</xdr:col>
      <xdr:colOff>7086600</xdr:colOff>
      <xdr:row>124</xdr:row>
      <xdr:rowOff>42939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7304EF6B-2F13-2E1A-E00D-E682A07C7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24631650"/>
          <a:ext cx="1762125" cy="43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126</xdr:row>
      <xdr:rowOff>57150</xdr:rowOff>
    </xdr:from>
    <xdr:to>
      <xdr:col>4</xdr:col>
      <xdr:colOff>47625</xdr:colOff>
      <xdr:row>127</xdr:row>
      <xdr:rowOff>171450</xdr:rowOff>
    </xdr:to>
    <xdr:sp macro="" textlink="">
      <xdr:nvSpPr>
        <xdr:cNvPr id="59" name="Corchetes 58">
          <a:extLst>
            <a:ext uri="{FF2B5EF4-FFF2-40B4-BE49-F238E27FC236}">
              <a16:creationId xmlns:a16="http://schemas.microsoft.com/office/drawing/2014/main" id="{047257B0-B319-4D13-8ADA-E0A677362932}"/>
            </a:ext>
          </a:extLst>
        </xdr:cNvPr>
        <xdr:cNvSpPr/>
      </xdr:nvSpPr>
      <xdr:spPr>
        <a:xfrm>
          <a:off x="7591425" y="2952750"/>
          <a:ext cx="1019175" cy="33337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190500</xdr:colOff>
      <xdr:row>130</xdr:row>
      <xdr:rowOff>57150</xdr:rowOff>
    </xdr:from>
    <xdr:to>
      <xdr:col>4</xdr:col>
      <xdr:colOff>47625</xdr:colOff>
      <xdr:row>131</xdr:row>
      <xdr:rowOff>171450</xdr:rowOff>
    </xdr:to>
    <xdr:sp macro="" textlink="">
      <xdr:nvSpPr>
        <xdr:cNvPr id="61" name="Corchetes 60">
          <a:extLst>
            <a:ext uri="{FF2B5EF4-FFF2-40B4-BE49-F238E27FC236}">
              <a16:creationId xmlns:a16="http://schemas.microsoft.com/office/drawing/2014/main" id="{446A3AF9-9412-42FC-9782-FE2EC57E7CFC}"/>
            </a:ext>
          </a:extLst>
        </xdr:cNvPr>
        <xdr:cNvSpPr/>
      </xdr:nvSpPr>
      <xdr:spPr>
        <a:xfrm>
          <a:off x="7591425" y="25460325"/>
          <a:ext cx="1019175" cy="33337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190500</xdr:colOff>
      <xdr:row>134</xdr:row>
      <xdr:rowOff>57150</xdr:rowOff>
    </xdr:from>
    <xdr:to>
      <xdr:col>4</xdr:col>
      <xdr:colOff>47625</xdr:colOff>
      <xdr:row>135</xdr:row>
      <xdr:rowOff>171450</xdr:rowOff>
    </xdr:to>
    <xdr:sp macro="" textlink="">
      <xdr:nvSpPr>
        <xdr:cNvPr id="62" name="Corchetes 61">
          <a:extLst>
            <a:ext uri="{FF2B5EF4-FFF2-40B4-BE49-F238E27FC236}">
              <a16:creationId xmlns:a16="http://schemas.microsoft.com/office/drawing/2014/main" id="{39B8FAC9-A5BB-41CD-9866-1602B86453A1}"/>
            </a:ext>
          </a:extLst>
        </xdr:cNvPr>
        <xdr:cNvSpPr/>
      </xdr:nvSpPr>
      <xdr:spPr>
        <a:xfrm>
          <a:off x="7591425" y="26250900"/>
          <a:ext cx="1019175" cy="33337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190500</xdr:colOff>
      <xdr:row>138</xdr:row>
      <xdr:rowOff>57150</xdr:rowOff>
    </xdr:from>
    <xdr:to>
      <xdr:col>4</xdr:col>
      <xdr:colOff>47625</xdr:colOff>
      <xdr:row>139</xdr:row>
      <xdr:rowOff>171450</xdr:rowOff>
    </xdr:to>
    <xdr:sp macro="" textlink="">
      <xdr:nvSpPr>
        <xdr:cNvPr id="63" name="Corchetes 62">
          <a:extLst>
            <a:ext uri="{FF2B5EF4-FFF2-40B4-BE49-F238E27FC236}">
              <a16:creationId xmlns:a16="http://schemas.microsoft.com/office/drawing/2014/main" id="{F0490D07-0C93-47FE-95CE-51B947785DED}"/>
            </a:ext>
          </a:extLst>
        </xdr:cNvPr>
        <xdr:cNvSpPr/>
      </xdr:nvSpPr>
      <xdr:spPr>
        <a:xfrm>
          <a:off x="7591425" y="27041475"/>
          <a:ext cx="1019175" cy="304800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219076</xdr:colOff>
      <xdr:row>141</xdr:row>
      <xdr:rowOff>1</xdr:rowOff>
    </xdr:from>
    <xdr:to>
      <xdr:col>4</xdr:col>
      <xdr:colOff>28576</xdr:colOff>
      <xdr:row>142</xdr:row>
      <xdr:rowOff>38101</xdr:rowOff>
    </xdr:to>
    <xdr:sp macro="" textlink="">
      <xdr:nvSpPr>
        <xdr:cNvPr id="66" name="Corchetes 65">
          <a:extLst>
            <a:ext uri="{FF2B5EF4-FFF2-40B4-BE49-F238E27FC236}">
              <a16:creationId xmlns:a16="http://schemas.microsoft.com/office/drawing/2014/main" id="{525F1BFB-3A6B-4D5F-AF44-0CE747A93A81}"/>
            </a:ext>
          </a:extLst>
        </xdr:cNvPr>
        <xdr:cNvSpPr/>
      </xdr:nvSpPr>
      <xdr:spPr>
        <a:xfrm>
          <a:off x="7620001" y="952501"/>
          <a:ext cx="971550" cy="228600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6477000</xdr:colOff>
      <xdr:row>144</xdr:row>
      <xdr:rowOff>0</xdr:rowOff>
    </xdr:from>
    <xdr:to>
      <xdr:col>0</xdr:col>
      <xdr:colOff>7381875</xdr:colOff>
      <xdr:row>145</xdr:row>
      <xdr:rowOff>61491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9A2A0AA1-E80A-6014-95CE-260959077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28917900"/>
          <a:ext cx="904875" cy="251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209550</xdr:colOff>
      <xdr:row>144</xdr:row>
      <xdr:rowOff>19050</xdr:rowOff>
    </xdr:from>
    <xdr:to>
      <xdr:col>4</xdr:col>
      <xdr:colOff>38100</xdr:colOff>
      <xdr:row>145</xdr:row>
      <xdr:rowOff>9525</xdr:rowOff>
    </xdr:to>
    <xdr:sp macro="" textlink="">
      <xdr:nvSpPr>
        <xdr:cNvPr id="68" name="Corchetes 67">
          <a:extLst>
            <a:ext uri="{FF2B5EF4-FFF2-40B4-BE49-F238E27FC236}">
              <a16:creationId xmlns:a16="http://schemas.microsoft.com/office/drawing/2014/main" id="{35E12692-09F6-46B0-A4DF-7BE3C0E7FBB9}"/>
            </a:ext>
          </a:extLst>
        </xdr:cNvPr>
        <xdr:cNvSpPr/>
      </xdr:nvSpPr>
      <xdr:spPr>
        <a:xfrm>
          <a:off x="7610475" y="28936950"/>
          <a:ext cx="1009650" cy="18097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DC2C-B15E-4A84-AA9D-7E9E61D5610D}">
  <dimension ref="A1:H146"/>
  <sheetViews>
    <sheetView showGridLines="0" tabSelected="1" topLeftCell="A104" zoomScaleNormal="100" workbookViewId="0">
      <selection activeCell="C136" sqref="C136"/>
    </sheetView>
  </sheetViews>
  <sheetFormatPr baseColWidth="10" defaultRowHeight="14.4" x14ac:dyDescent="0.3"/>
  <cols>
    <col min="1" max="1" width="111" customWidth="1"/>
    <col min="2" max="2" width="3.44140625" customWidth="1"/>
    <col min="3" max="3" width="7.33203125" style="2" bestFit="1" customWidth="1"/>
    <col min="4" max="4" width="7" style="2" bestFit="1" customWidth="1"/>
    <col min="5" max="8" width="4.6640625" style="2" customWidth="1"/>
  </cols>
  <sheetData>
    <row r="1" spans="1:8" ht="72" x14ac:dyDescent="0.3">
      <c r="A1" s="1" t="s">
        <v>0</v>
      </c>
    </row>
    <row r="2" spans="1:8" x14ac:dyDescent="0.3">
      <c r="B2" s="5" t="s">
        <v>8</v>
      </c>
      <c r="C2" s="4">
        <v>0.6</v>
      </c>
      <c r="D2" s="4">
        <v>0.4</v>
      </c>
      <c r="F2" s="2" t="s">
        <v>28</v>
      </c>
    </row>
    <row r="4" spans="1:8" x14ac:dyDescent="0.3">
      <c r="B4" s="2"/>
    </row>
    <row r="5" spans="1:8" x14ac:dyDescent="0.3">
      <c r="A5" s="2"/>
      <c r="B5" s="3"/>
      <c r="C5" s="8"/>
    </row>
    <row r="6" spans="1:8" x14ac:dyDescent="0.3">
      <c r="A6" s="2"/>
      <c r="B6" s="3"/>
      <c r="C6" s="8"/>
    </row>
    <row r="8" spans="1:8" x14ac:dyDescent="0.3">
      <c r="E8"/>
      <c r="F8"/>
      <c r="G8"/>
      <c r="H8"/>
    </row>
    <row r="9" spans="1:8" ht="15.6" x14ac:dyDescent="0.3">
      <c r="A9" s="14" t="s">
        <v>10</v>
      </c>
      <c r="E9"/>
      <c r="F9"/>
      <c r="G9"/>
      <c r="H9"/>
    </row>
    <row r="10" spans="1:8" ht="16.2" x14ac:dyDescent="0.3">
      <c r="A10" s="6" t="s">
        <v>1</v>
      </c>
      <c r="E10"/>
      <c r="F10"/>
      <c r="G10"/>
      <c r="H10"/>
    </row>
    <row r="11" spans="1:8" x14ac:dyDescent="0.3">
      <c r="C11" s="2" t="s">
        <v>4</v>
      </c>
      <c r="D11" s="2" t="s">
        <v>5</v>
      </c>
      <c r="E11"/>
      <c r="F11"/>
      <c r="G11"/>
      <c r="H11"/>
    </row>
    <row r="12" spans="1:8" ht="16.2" x14ac:dyDescent="0.3">
      <c r="A12" s="7" t="s">
        <v>3</v>
      </c>
      <c r="B12" t="s">
        <v>4</v>
      </c>
      <c r="C12" s="2">
        <v>0.7</v>
      </c>
      <c r="D12" s="2">
        <v>0.3</v>
      </c>
      <c r="E12"/>
      <c r="F12"/>
      <c r="G12"/>
      <c r="H12"/>
    </row>
    <row r="13" spans="1:8" x14ac:dyDescent="0.3">
      <c r="B13" t="s">
        <v>5</v>
      </c>
      <c r="C13" s="2">
        <v>0.25</v>
      </c>
      <c r="D13" s="2">
        <v>0.75</v>
      </c>
      <c r="E13"/>
      <c r="F13"/>
      <c r="G13"/>
      <c r="H13"/>
    </row>
    <row r="14" spans="1:8" x14ac:dyDescent="0.3">
      <c r="E14"/>
      <c r="F14"/>
      <c r="G14"/>
      <c r="H14"/>
    </row>
    <row r="15" spans="1:8" x14ac:dyDescent="0.3">
      <c r="C15" s="2" t="s">
        <v>4</v>
      </c>
      <c r="D15" s="2" t="s">
        <v>5</v>
      </c>
      <c r="E15"/>
      <c r="F15"/>
      <c r="G15"/>
      <c r="H15"/>
    </row>
    <row r="16" spans="1:8" ht="16.2" x14ac:dyDescent="0.3">
      <c r="A16" s="7" t="s">
        <v>6</v>
      </c>
      <c r="B16" t="s">
        <v>4</v>
      </c>
      <c r="C16" s="2" cm="1">
        <f t="array" ref="C16:D17">+MMULT(C12:D13,C12:D13)</f>
        <v>0.56499999999999995</v>
      </c>
      <c r="D16" s="2">
        <v>0.43499999999999994</v>
      </c>
      <c r="E16"/>
      <c r="F16"/>
      <c r="G16"/>
      <c r="H16"/>
    </row>
    <row r="17" spans="1:8" x14ac:dyDescent="0.3">
      <c r="B17" t="s">
        <v>5</v>
      </c>
      <c r="C17" s="2">
        <v>0.36249999999999999</v>
      </c>
      <c r="D17" s="2">
        <v>0.63749999999999996</v>
      </c>
      <c r="E17"/>
      <c r="F17"/>
      <c r="G17"/>
      <c r="H17"/>
    </row>
    <row r="18" spans="1:8" x14ac:dyDescent="0.3">
      <c r="E18"/>
      <c r="F18"/>
      <c r="G18"/>
      <c r="H18"/>
    </row>
    <row r="19" spans="1:8" x14ac:dyDescent="0.3">
      <c r="C19" s="2" t="s">
        <v>4</v>
      </c>
      <c r="D19" s="2" t="s">
        <v>5</v>
      </c>
      <c r="E19"/>
      <c r="F19"/>
      <c r="G19"/>
      <c r="H19"/>
    </row>
    <row r="20" spans="1:8" ht="16.2" x14ac:dyDescent="0.3">
      <c r="A20" s="10" t="s">
        <v>9</v>
      </c>
      <c r="B20" t="s">
        <v>4</v>
      </c>
      <c r="C20" s="9" cm="1">
        <f t="array" ref="C20:D21">+MMULT(C16:D17,C12:D13)</f>
        <v>0.50424999999999998</v>
      </c>
      <c r="D20" s="9">
        <v>0.49574999999999991</v>
      </c>
      <c r="E20"/>
      <c r="F20"/>
      <c r="G20"/>
      <c r="H20"/>
    </row>
    <row r="21" spans="1:8" x14ac:dyDescent="0.3">
      <c r="B21" t="s">
        <v>5</v>
      </c>
      <c r="C21" s="11">
        <v>0.41312499999999996</v>
      </c>
      <c r="D21" s="11">
        <v>0.58687499999999992</v>
      </c>
      <c r="E21"/>
      <c r="F21"/>
      <c r="G21"/>
      <c r="H21"/>
    </row>
    <row r="22" spans="1:8" x14ac:dyDescent="0.3">
      <c r="E22"/>
      <c r="F22"/>
      <c r="G22"/>
      <c r="H22"/>
    </row>
    <row r="23" spans="1:8" x14ac:dyDescent="0.3">
      <c r="A23" s="5"/>
      <c r="B23" s="5"/>
      <c r="C23" s="4" t="s">
        <v>4</v>
      </c>
      <c r="D23" s="4" t="s">
        <v>5</v>
      </c>
      <c r="E23" s="5"/>
      <c r="F23"/>
      <c r="G23"/>
      <c r="H23"/>
    </row>
    <row r="24" spans="1:8" x14ac:dyDescent="0.3">
      <c r="A24" s="10" t="s">
        <v>7</v>
      </c>
      <c r="B24" s="5"/>
      <c r="C24" s="13" cm="1">
        <f t="array" ref="C24:D24">+MMULT(C2:D2,_xlfn.ANCHORARRAY(C20))</f>
        <v>0.46779999999999999</v>
      </c>
      <c r="D24" s="13">
        <v>0.5321999999999999</v>
      </c>
      <c r="E24" s="5"/>
      <c r="F24"/>
      <c r="G24" t="s">
        <v>29</v>
      </c>
      <c r="H24"/>
    </row>
    <row r="25" spans="1:8" x14ac:dyDescent="0.3">
      <c r="E25"/>
      <c r="F25"/>
      <c r="G25" t="s">
        <v>30</v>
      </c>
      <c r="H25"/>
    </row>
    <row r="26" spans="1:8" ht="31.2" x14ac:dyDescent="0.3">
      <c r="A26" s="15" t="s">
        <v>11</v>
      </c>
      <c r="E26"/>
      <c r="F26"/>
      <c r="G26" s="22" t="s">
        <v>31</v>
      </c>
      <c r="H26"/>
    </row>
    <row r="27" spans="1:8" x14ac:dyDescent="0.3">
      <c r="C27" s="2" t="s">
        <v>4</v>
      </c>
      <c r="D27" s="2" t="s">
        <v>5</v>
      </c>
      <c r="E27"/>
      <c r="F27"/>
      <c r="G27"/>
      <c r="H27"/>
    </row>
    <row r="28" spans="1:8" ht="16.2" x14ac:dyDescent="0.3">
      <c r="A28" s="7" t="s">
        <v>3</v>
      </c>
      <c r="B28" t="s">
        <v>4</v>
      </c>
      <c r="C28" s="2">
        <v>0.7</v>
      </c>
      <c r="D28" s="2">
        <v>0.3</v>
      </c>
      <c r="E28"/>
      <c r="F28"/>
      <c r="G28"/>
      <c r="H28"/>
    </row>
    <row r="29" spans="1:8" x14ac:dyDescent="0.3">
      <c r="B29" t="s">
        <v>5</v>
      </c>
      <c r="C29" s="2">
        <v>0.25</v>
      </c>
      <c r="D29" s="2">
        <v>0.75</v>
      </c>
      <c r="E29"/>
    </row>
    <row r="30" spans="1:8" x14ac:dyDescent="0.3">
      <c r="E30"/>
    </row>
    <row r="31" spans="1:8" x14ac:dyDescent="0.3">
      <c r="C31" s="2" t="s">
        <v>4</v>
      </c>
      <c r="D31" s="2" t="s">
        <v>5</v>
      </c>
      <c r="E31"/>
    </row>
    <row r="32" spans="1:8" ht="16.2" x14ac:dyDescent="0.3">
      <c r="A32" s="7" t="s">
        <v>6</v>
      </c>
      <c r="B32" t="s">
        <v>4</v>
      </c>
      <c r="C32" s="2" cm="1">
        <f t="array" ref="C32:D33">+MMULT(C28:D29,C28:D29)</f>
        <v>0.56499999999999995</v>
      </c>
      <c r="D32" s="2">
        <v>0.43499999999999994</v>
      </c>
      <c r="E32"/>
    </row>
    <row r="33" spans="1:8" x14ac:dyDescent="0.3">
      <c r="B33" t="s">
        <v>5</v>
      </c>
      <c r="C33" s="16">
        <v>0.36249999999999999</v>
      </c>
      <c r="D33" s="2">
        <v>0.63749999999999996</v>
      </c>
      <c r="E33"/>
    </row>
    <row r="35" spans="1:8" ht="15.6" x14ac:dyDescent="0.3">
      <c r="A35" s="15" t="s">
        <v>12</v>
      </c>
    </row>
    <row r="36" spans="1:8" ht="16.2" x14ac:dyDescent="0.3">
      <c r="A36" s="7" t="s">
        <v>13</v>
      </c>
      <c r="E36"/>
      <c r="F36"/>
      <c r="G36"/>
      <c r="H36"/>
    </row>
    <row r="37" spans="1:8" x14ac:dyDescent="0.3">
      <c r="C37" s="2" t="s">
        <v>4</v>
      </c>
      <c r="D37" s="2" t="s">
        <v>5</v>
      </c>
      <c r="E37"/>
      <c r="F37"/>
      <c r="G37"/>
      <c r="H37"/>
    </row>
    <row r="38" spans="1:8" ht="16.2" x14ac:dyDescent="0.3">
      <c r="A38" s="7" t="s">
        <v>2</v>
      </c>
      <c r="B38" t="s">
        <v>4</v>
      </c>
      <c r="C38" s="9">
        <f>+C20</f>
        <v>0.50424999999999998</v>
      </c>
      <c r="D38" s="9">
        <f>+D20</f>
        <v>0.49574999999999991</v>
      </c>
      <c r="E38"/>
      <c r="F38"/>
      <c r="G38"/>
      <c r="H38"/>
    </row>
    <row r="39" spans="1:8" x14ac:dyDescent="0.3">
      <c r="B39" t="s">
        <v>5</v>
      </c>
      <c r="C39" s="11">
        <f>+C21</f>
        <v>0.41312499999999996</v>
      </c>
      <c r="D39" s="11">
        <f>+D21</f>
        <v>0.58687499999999992</v>
      </c>
      <c r="E39"/>
      <c r="F39"/>
      <c r="G39"/>
      <c r="H39"/>
    </row>
    <row r="40" spans="1:8" x14ac:dyDescent="0.3">
      <c r="E40"/>
      <c r="F40"/>
      <c r="G40"/>
      <c r="H40"/>
    </row>
    <row r="41" spans="1:8" x14ac:dyDescent="0.3">
      <c r="C41" s="2" t="s">
        <v>4</v>
      </c>
      <c r="D41" s="2" t="s">
        <v>5</v>
      </c>
      <c r="E41"/>
      <c r="F41"/>
      <c r="G41"/>
      <c r="H41"/>
    </row>
    <row r="42" spans="1:8" ht="16.2" x14ac:dyDescent="0.3">
      <c r="A42" s="10" t="s">
        <v>14</v>
      </c>
      <c r="B42" t="s">
        <v>4</v>
      </c>
      <c r="C42" s="11" cm="1">
        <f t="array" ref="C42:D43">+MMULT(C38:D39,C12:D13)</f>
        <v>0.47691249999999996</v>
      </c>
      <c r="D42" s="11">
        <v>0.52308749999999993</v>
      </c>
      <c r="E42"/>
      <c r="F42"/>
      <c r="G42"/>
      <c r="H42"/>
    </row>
    <row r="43" spans="1:8" x14ac:dyDescent="0.3">
      <c r="B43" t="s">
        <v>5</v>
      </c>
      <c r="C43" s="11">
        <v>0.43590624999999994</v>
      </c>
      <c r="D43" s="11">
        <v>0.56409374999999984</v>
      </c>
      <c r="E43"/>
      <c r="F43"/>
      <c r="G43"/>
      <c r="H43"/>
    </row>
    <row r="44" spans="1:8" x14ac:dyDescent="0.3">
      <c r="E44"/>
      <c r="F44"/>
      <c r="G44"/>
      <c r="H44"/>
    </row>
    <row r="45" spans="1:8" x14ac:dyDescent="0.3">
      <c r="A45" s="5"/>
      <c r="B45" s="5"/>
      <c r="C45" s="4" t="s">
        <v>4</v>
      </c>
      <c r="D45" s="4" t="s">
        <v>5</v>
      </c>
      <c r="E45" s="5"/>
      <c r="F45"/>
      <c r="G45"/>
      <c r="H45"/>
    </row>
    <row r="46" spans="1:8" x14ac:dyDescent="0.3">
      <c r="A46" s="10" t="s">
        <v>15</v>
      </c>
      <c r="B46" s="5"/>
      <c r="C46" s="13" cm="1">
        <f t="array" ref="C46:D46">+MMULT(C2:D2,_xlfn.ANCHORARRAY(C42))</f>
        <v>0.46050999999999992</v>
      </c>
      <c r="D46" s="13">
        <v>0.5394899999999998</v>
      </c>
      <c r="E46" s="5"/>
      <c r="F46"/>
      <c r="G46"/>
      <c r="H46"/>
    </row>
    <row r="47" spans="1:8" x14ac:dyDescent="0.3">
      <c r="E47"/>
      <c r="F47"/>
      <c r="G47"/>
      <c r="H47"/>
    </row>
    <row r="48" spans="1:8" x14ac:dyDescent="0.3">
      <c r="A48" s="17" t="s">
        <v>16</v>
      </c>
    </row>
    <row r="49" spans="1:8" x14ac:dyDescent="0.3">
      <c r="C49" s="2" t="s">
        <v>4</v>
      </c>
      <c r="D49" s="2" t="s">
        <v>5</v>
      </c>
      <c r="E49"/>
      <c r="F49"/>
      <c r="G49"/>
      <c r="H49"/>
    </row>
    <row r="50" spans="1:8" ht="16.2" x14ac:dyDescent="0.3">
      <c r="A50" s="7" t="s">
        <v>17</v>
      </c>
      <c r="B50" t="s">
        <v>4</v>
      </c>
      <c r="C50" s="11">
        <f>+C20</f>
        <v>0.50424999999999998</v>
      </c>
      <c r="D50" s="18">
        <f t="shared" ref="D50:D51" si="0">+D20</f>
        <v>0.49574999999999991</v>
      </c>
      <c r="E50"/>
      <c r="F50"/>
      <c r="G50"/>
      <c r="H50"/>
    </row>
    <row r="51" spans="1:8" x14ac:dyDescent="0.3">
      <c r="B51" t="s">
        <v>5</v>
      </c>
      <c r="C51" s="11">
        <f t="shared" ref="C51" si="1">+C21</f>
        <v>0.41312499999999996</v>
      </c>
      <c r="D51" s="11">
        <f t="shared" si="0"/>
        <v>0.58687499999999992</v>
      </c>
      <c r="E51"/>
      <c r="F51"/>
      <c r="G51"/>
      <c r="H51"/>
    </row>
    <row r="53" spans="1:8" ht="15.6" x14ac:dyDescent="0.3">
      <c r="A53" s="19" t="s">
        <v>18</v>
      </c>
    </row>
    <row r="54" spans="1:8" x14ac:dyDescent="0.3">
      <c r="C54" s="2" t="s">
        <v>4</v>
      </c>
      <c r="D54" s="2" t="s">
        <v>5</v>
      </c>
      <c r="E54"/>
      <c r="F54"/>
      <c r="G54"/>
      <c r="H54"/>
    </row>
    <row r="55" spans="1:8" ht="16.2" x14ac:dyDescent="0.3">
      <c r="A55" s="7" t="s">
        <v>19</v>
      </c>
      <c r="B55" t="s">
        <v>4</v>
      </c>
      <c r="C55" s="9">
        <f>+C42</f>
        <v>0.47691249999999996</v>
      </c>
      <c r="D55" s="9">
        <f t="shared" ref="D55:D56" si="2">+D42</f>
        <v>0.52308749999999993</v>
      </c>
      <c r="E55"/>
      <c r="F55"/>
      <c r="G55"/>
      <c r="H55"/>
    </row>
    <row r="56" spans="1:8" x14ac:dyDescent="0.3">
      <c r="B56" t="s">
        <v>5</v>
      </c>
      <c r="C56" s="9">
        <f t="shared" ref="C56" si="3">+C43</f>
        <v>0.43590624999999994</v>
      </c>
      <c r="D56" s="9">
        <f t="shared" si="2"/>
        <v>0.56409374999999984</v>
      </c>
      <c r="E56"/>
      <c r="F56"/>
      <c r="G56"/>
      <c r="H56"/>
    </row>
    <row r="57" spans="1:8" x14ac:dyDescent="0.3">
      <c r="E57"/>
      <c r="F57"/>
      <c r="G57"/>
      <c r="H57"/>
    </row>
    <row r="58" spans="1:8" x14ac:dyDescent="0.3">
      <c r="C58" s="2" t="s">
        <v>4</v>
      </c>
      <c r="D58" s="2" t="s">
        <v>5</v>
      </c>
      <c r="E58"/>
      <c r="F58"/>
      <c r="G58"/>
      <c r="H58"/>
    </row>
    <row r="59" spans="1:8" ht="16.2" x14ac:dyDescent="0.3">
      <c r="A59" s="7" t="s">
        <v>20</v>
      </c>
      <c r="B59" t="s">
        <v>4</v>
      </c>
      <c r="C59" s="11" cm="1">
        <f t="array" ref="C59:D60">+MMULT(C55:D56,C12:D13)</f>
        <v>0.46461062499999994</v>
      </c>
      <c r="D59" s="11">
        <v>0.53538937499999995</v>
      </c>
      <c r="E59"/>
      <c r="F59"/>
      <c r="G59"/>
      <c r="H59"/>
    </row>
    <row r="60" spans="1:8" x14ac:dyDescent="0.3">
      <c r="B60" t="s">
        <v>5</v>
      </c>
      <c r="C60" s="11">
        <v>0.44615781249999992</v>
      </c>
      <c r="D60" s="18">
        <v>0.55384218749999992</v>
      </c>
      <c r="E60"/>
      <c r="F60"/>
      <c r="G60"/>
      <c r="H60"/>
    </row>
    <row r="62" spans="1:8" x14ac:dyDescent="0.3">
      <c r="A62" s="17" t="s">
        <v>21</v>
      </c>
    </row>
    <row r="67" spans="1:8" x14ac:dyDescent="0.3">
      <c r="C67" s="2" t="s">
        <v>4</v>
      </c>
      <c r="D67" s="2" t="s">
        <v>5</v>
      </c>
      <c r="E67"/>
      <c r="F67"/>
      <c r="G67"/>
      <c r="H67"/>
    </row>
    <row r="68" spans="1:8" ht="16.2" x14ac:dyDescent="0.3">
      <c r="A68" s="7" t="s">
        <v>22</v>
      </c>
      <c r="B68" t="s">
        <v>4</v>
      </c>
      <c r="C68" s="12" cm="1">
        <f t="array" ref="C68:D69">+MMULT(_xlfn.ANCHORARRAY(C59),_xlfn.ANCHORARRAY(C59))</f>
        <v>0.45473118524863265</v>
      </c>
      <c r="D68" s="12">
        <v>0.54526881475136701</v>
      </c>
      <c r="E68"/>
      <c r="F68"/>
      <c r="G68"/>
      <c r="H68"/>
    </row>
    <row r="69" spans="1:8" x14ac:dyDescent="0.3">
      <c r="B69" t="s">
        <v>5</v>
      </c>
      <c r="C69" s="12">
        <v>0.45439067895947249</v>
      </c>
      <c r="D69" s="12">
        <v>0.54560932104052717</v>
      </c>
      <c r="E69"/>
      <c r="F69"/>
      <c r="G69"/>
      <c r="H69"/>
    </row>
    <row r="71" spans="1:8" x14ac:dyDescent="0.3">
      <c r="B71" s="5"/>
      <c r="C71" s="4" t="s">
        <v>4</v>
      </c>
      <c r="D71" s="4" t="s">
        <v>5</v>
      </c>
      <c r="E71" s="5"/>
      <c r="F71"/>
      <c r="G71"/>
      <c r="H71"/>
    </row>
    <row r="72" spans="1:8" ht="16.2" x14ac:dyDescent="0.3">
      <c r="A72" s="7" t="s">
        <v>23</v>
      </c>
      <c r="B72" s="5" t="s">
        <v>4</v>
      </c>
      <c r="C72" s="21" cm="1">
        <f t="array" ref="C72:D73">+MMULT(_xlfn.ANCHORARRAY(C68),_xlfn.ANCHORARRAY(C68))</f>
        <v>0.45454551778792673</v>
      </c>
      <c r="D72" s="21">
        <v>0.5454544822120726</v>
      </c>
      <c r="E72" s="5"/>
      <c r="F72"/>
      <c r="G72"/>
      <c r="H72"/>
    </row>
    <row r="73" spans="1:8" x14ac:dyDescent="0.3">
      <c r="B73" s="5" t="s">
        <v>5</v>
      </c>
      <c r="C73" s="21">
        <v>0.45454540184339376</v>
      </c>
      <c r="D73" s="21">
        <v>0.54545459815660546</v>
      </c>
      <c r="E73" s="5"/>
      <c r="F73"/>
      <c r="G73"/>
      <c r="H73"/>
    </row>
    <row r="126" spans="1:8" x14ac:dyDescent="0.3">
      <c r="C126" s="2" t="s">
        <v>4</v>
      </c>
      <c r="D126" s="2" t="s">
        <v>5</v>
      </c>
      <c r="E126"/>
      <c r="F126"/>
      <c r="G126"/>
      <c r="H126"/>
    </row>
    <row r="127" spans="1:8" ht="16.2" x14ac:dyDescent="0.3">
      <c r="A127" s="7" t="s">
        <v>3</v>
      </c>
      <c r="B127" t="s">
        <v>4</v>
      </c>
      <c r="C127" s="2">
        <v>0.7</v>
      </c>
      <c r="D127" s="2">
        <v>0.3</v>
      </c>
      <c r="E127"/>
      <c r="F127"/>
      <c r="G127"/>
      <c r="H127"/>
    </row>
    <row r="128" spans="1:8" x14ac:dyDescent="0.3">
      <c r="B128" t="s">
        <v>5</v>
      </c>
      <c r="C128" s="2">
        <v>0.25</v>
      </c>
      <c r="D128" s="2">
        <v>0.75</v>
      </c>
      <c r="E128"/>
      <c r="F128"/>
      <c r="G128"/>
      <c r="H128"/>
    </row>
    <row r="130" spans="1:5" x14ac:dyDescent="0.3">
      <c r="C130" s="2" t="s">
        <v>4</v>
      </c>
      <c r="D130" s="2" t="s">
        <v>5</v>
      </c>
      <c r="E130"/>
    </row>
    <row r="131" spans="1:5" ht="16.2" x14ac:dyDescent="0.3">
      <c r="A131" s="7" t="s">
        <v>24</v>
      </c>
      <c r="B131" t="s">
        <v>4</v>
      </c>
      <c r="C131" s="2">
        <f>0.7-1</f>
        <v>-0.30000000000000004</v>
      </c>
      <c r="D131" s="2">
        <f>0.3-0</f>
        <v>0.3</v>
      </c>
      <c r="E131"/>
    </row>
    <row r="132" spans="1:5" x14ac:dyDescent="0.3">
      <c r="B132" t="s">
        <v>5</v>
      </c>
      <c r="C132" s="2">
        <f>0.25-0</f>
        <v>0.25</v>
      </c>
      <c r="D132" s="2">
        <f>0.75-1</f>
        <v>-0.25</v>
      </c>
      <c r="E132"/>
    </row>
    <row r="134" spans="1:5" x14ac:dyDescent="0.3">
      <c r="C134" s="2" t="s">
        <v>4</v>
      </c>
      <c r="D134" s="2" t="s">
        <v>5</v>
      </c>
      <c r="E134"/>
    </row>
    <row r="135" spans="1:5" x14ac:dyDescent="0.3">
      <c r="A135" s="17" t="s">
        <v>25</v>
      </c>
      <c r="B135" t="s">
        <v>4</v>
      </c>
      <c r="C135" s="2">
        <f>0.7-1</f>
        <v>-0.30000000000000004</v>
      </c>
      <c r="D135" s="2">
        <v>1</v>
      </c>
      <c r="E135"/>
    </row>
    <row r="136" spans="1:5" x14ac:dyDescent="0.3">
      <c r="B136" t="s">
        <v>5</v>
      </c>
      <c r="C136" s="2">
        <f>0.25-0</f>
        <v>0.25</v>
      </c>
      <c r="D136" s="2">
        <v>1</v>
      </c>
      <c r="E136"/>
    </row>
    <row r="138" spans="1:5" x14ac:dyDescent="0.3">
      <c r="C138" s="2" t="s">
        <v>4</v>
      </c>
      <c r="D138" s="2" t="s">
        <v>5</v>
      </c>
      <c r="E138"/>
    </row>
    <row r="139" spans="1:5" ht="16.2" x14ac:dyDescent="0.3">
      <c r="A139" s="7" t="s">
        <v>26</v>
      </c>
      <c r="B139" t="s">
        <v>4</v>
      </c>
      <c r="C139" s="12" cm="1">
        <f t="array" ref="C139:D140">+MINVERSE(C135:D136)</f>
        <v>-1.8181818181818177</v>
      </c>
      <c r="D139" s="12">
        <v>1.8181818181818181</v>
      </c>
      <c r="E139"/>
    </row>
    <row r="140" spans="1:5" x14ac:dyDescent="0.3">
      <c r="B140" t="s">
        <v>5</v>
      </c>
      <c r="C140" s="12">
        <v>0.45454545454545453</v>
      </c>
      <c r="D140" s="12">
        <v>0.54545454545454553</v>
      </c>
      <c r="E140"/>
    </row>
    <row r="142" spans="1:5" x14ac:dyDescent="0.3">
      <c r="A142" s="17" t="s">
        <v>27</v>
      </c>
      <c r="C142" s="2">
        <v>0</v>
      </c>
      <c r="D142" s="2">
        <v>1</v>
      </c>
    </row>
    <row r="144" spans="1:5" x14ac:dyDescent="0.3">
      <c r="C144" s="2" t="s">
        <v>4</v>
      </c>
      <c r="D144" s="2" t="s">
        <v>5</v>
      </c>
      <c r="E144"/>
    </row>
    <row r="145" spans="3:5" x14ac:dyDescent="0.3">
      <c r="C145" s="20" cm="1">
        <f t="array" ref="C145:D145">+MMULT(C142:D142,_xlfn.ANCHORARRAY(C139))</f>
        <v>0.45454545454545453</v>
      </c>
      <c r="D145" s="20">
        <v>0.54545454545454553</v>
      </c>
      <c r="E145"/>
    </row>
    <row r="146" spans="3:5" x14ac:dyDescent="0.3">
      <c r="E146"/>
    </row>
  </sheetData>
  <pageMargins left="0.7" right="0.7" top="0.75" bottom="0.75" header="0.3" footer="0.3"/>
  <pageSetup paperSize="9" orientation="portrait" r:id="rId1"/>
  <headerFooter>
    <oddHeader>&amp;R&amp;"Calibri"&amp;10&amp;K000000 Documento: Personal&amp;1#_x000D_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BENEVENIA, FLORENCIA</dc:creator>
  <cp:lastModifiedBy>Uriel Villalonga</cp:lastModifiedBy>
  <dcterms:created xsi:type="dcterms:W3CDTF">2024-04-12T21:23:53Z</dcterms:created>
  <dcterms:modified xsi:type="dcterms:W3CDTF">2025-06-25T16:55:39Z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8ef38c-4357-49c8-b2ae-c9cdaf411188_Enabled">
    <vt:lpwstr>true</vt:lpwstr>
  </property>
  <property fmtid="{D5CDD505-2E9C-101B-9397-08002B2CF9AE}" pid="3" name="MSIP_Label_228ef38c-4357-49c8-b2ae-c9cdaf411188_SetDate">
    <vt:lpwstr>2024-04-12T21:34:07Z</vt:lpwstr>
  </property>
  <property fmtid="{D5CDD505-2E9C-101B-9397-08002B2CF9AE}" pid="4" name="MSIP_Label_228ef38c-4357-49c8-b2ae-c9cdaf411188_Method">
    <vt:lpwstr>Privileged</vt:lpwstr>
  </property>
  <property fmtid="{D5CDD505-2E9C-101B-9397-08002B2CF9AE}" pid="5" name="MSIP_Label_228ef38c-4357-49c8-b2ae-c9cdaf411188_Name">
    <vt:lpwstr>Personal</vt:lpwstr>
  </property>
  <property fmtid="{D5CDD505-2E9C-101B-9397-08002B2CF9AE}" pid="6" name="MSIP_Label_228ef38c-4357-49c8-b2ae-c9cdaf411188_SiteId">
    <vt:lpwstr>038018c3-616c-4b46-ad9b-aa9007f701b5</vt:lpwstr>
  </property>
  <property fmtid="{D5CDD505-2E9C-101B-9397-08002B2CF9AE}" pid="7" name="MSIP_Label_228ef38c-4357-49c8-b2ae-c9cdaf411188_ActionId">
    <vt:lpwstr>4db44416-4e1a-4012-92da-75c82cbce4ef</vt:lpwstr>
  </property>
  <property fmtid="{D5CDD505-2E9C-101B-9397-08002B2CF9AE}" pid="8" name="MSIP_Label_228ef38c-4357-49c8-b2ae-c9cdaf411188_ContentBits">
    <vt:lpwstr>1</vt:lpwstr>
  </property>
</Properties>
</file>